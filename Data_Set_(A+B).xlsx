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stepa\OneDrive\Desktop\Магистратура\2 семестр\Методы искусственного интеллекта в мехатронике и робототехнике\3\"/>
    </mc:Choice>
  </mc:AlternateContent>
  <xr:revisionPtr revIDLastSave="0" documentId="13_ncr:1_{0FCE7EEA-B3DD-43BF-80F5-245EBFA221A0}" xr6:coauthVersionLast="36" xr6:coauthVersionMax="36" xr10:uidLastSave="{00000000-0000-0000-0000-000000000000}"/>
  <bookViews>
    <workbookView xWindow="0" yWindow="0" windowWidth="16104" windowHeight="7932" xr2:uid="{00000000-000D-0000-FFFF-FFFF00000000}"/>
  </bookViews>
  <sheets>
    <sheet name="Лист 1" sheetId="1" r:id="rId1"/>
  </sheets>
  <calcPr calcId="191029"/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2" i="1"/>
  <c r="X2" i="1"/>
  <c r="Y2" i="1"/>
  <c r="Z2" i="1"/>
  <c r="AA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2" i="1"/>
  <c r="T2" i="1"/>
  <c r="Z3" i="1"/>
  <c r="Z4" i="1"/>
  <c r="Z5" i="1"/>
  <c r="Z9" i="1"/>
  <c r="Z10" i="1"/>
  <c r="Z14" i="1"/>
  <c r="Z15" i="1"/>
  <c r="Z17" i="1"/>
  <c r="Z21" i="1"/>
  <c r="Z22" i="1"/>
  <c r="Z23" i="1"/>
  <c r="Z24" i="1"/>
  <c r="Z25" i="1"/>
  <c r="Z26" i="1"/>
  <c r="Z28" i="1"/>
  <c r="Z32" i="1"/>
  <c r="Z33" i="1"/>
  <c r="Z34" i="1"/>
  <c r="Z39" i="1"/>
  <c r="Z40" i="1"/>
  <c r="Z41" i="1"/>
  <c r="Z42" i="1"/>
  <c r="Z45" i="1"/>
  <c r="Z46" i="1"/>
  <c r="Z50" i="1"/>
  <c r="Z51" i="1"/>
  <c r="Z54" i="1"/>
  <c r="Z55" i="1"/>
  <c r="Z58" i="1"/>
  <c r="Z59" i="1"/>
  <c r="Z60" i="1"/>
  <c r="Z61" i="1"/>
  <c r="Z62" i="1"/>
  <c r="Z63" i="1"/>
  <c r="Z64" i="1"/>
  <c r="Z68" i="1"/>
  <c r="Z69" i="1"/>
  <c r="Z70" i="1"/>
  <c r="Z75" i="1"/>
  <c r="Z76" i="1"/>
  <c r="Z81" i="1"/>
  <c r="Z82" i="1"/>
  <c r="Z86" i="1"/>
  <c r="Z87" i="1"/>
  <c r="Z88" i="1"/>
  <c r="Z89" i="1"/>
  <c r="Z90" i="1"/>
  <c r="Z91" i="1"/>
  <c r="Z92" i="1"/>
  <c r="Z94" i="1"/>
  <c r="Z95" i="1"/>
  <c r="Z99" i="1"/>
  <c r="Z100" i="1"/>
  <c r="Z104" i="1"/>
  <c r="Z105" i="1"/>
  <c r="Z106" i="1"/>
  <c r="Z107" i="1"/>
  <c r="Z108" i="1"/>
  <c r="Z109" i="1"/>
  <c r="Z110" i="1"/>
  <c r="Z111" i="1"/>
  <c r="Z112" i="1"/>
  <c r="Z113" i="1"/>
  <c r="Z117" i="1"/>
  <c r="Z118" i="1"/>
  <c r="Z122" i="1"/>
  <c r="Z123" i="1"/>
  <c r="Z125" i="1"/>
  <c r="Z126" i="1"/>
  <c r="Z127" i="1"/>
  <c r="Z129" i="1"/>
  <c r="Z130" i="1"/>
  <c r="Z131" i="1"/>
  <c r="Z132" i="1"/>
  <c r="Z133" i="1"/>
  <c r="Z134" i="1"/>
  <c r="Z135" i="1"/>
  <c r="Z136" i="1"/>
  <c r="Z140" i="1"/>
  <c r="Z141" i="1"/>
  <c r="Z145" i="1"/>
  <c r="Z146" i="1"/>
  <c r="Z148" i="1"/>
  <c r="Z149" i="1"/>
  <c r="Z150" i="1"/>
  <c r="Z151" i="1"/>
  <c r="Z153" i="1"/>
  <c r="Z154" i="1"/>
  <c r="Z158" i="1"/>
  <c r="Z159" i="1"/>
  <c r="Z160" i="1"/>
  <c r="Z161" i="1"/>
  <c r="Z165" i="1"/>
  <c r="Z166" i="1"/>
  <c r="Z167" i="1"/>
  <c r="Z168" i="1"/>
  <c r="Z169" i="1"/>
  <c r="Z170" i="1"/>
  <c r="Z171" i="1"/>
  <c r="Z172" i="1"/>
  <c r="Z176" i="1"/>
  <c r="Z177" i="1"/>
  <c r="Y10" i="1"/>
  <c r="Y14" i="1"/>
  <c r="Y15" i="1"/>
  <c r="Y18" i="1"/>
  <c r="Y19" i="1"/>
  <c r="Y20" i="1"/>
  <c r="Y21" i="1"/>
  <c r="Y25" i="1"/>
  <c r="Y32" i="1"/>
  <c r="Y33" i="1"/>
  <c r="Y39" i="1"/>
  <c r="Y45" i="1"/>
  <c r="Y46" i="1"/>
  <c r="Y50" i="1"/>
  <c r="Y51" i="1"/>
  <c r="Y54" i="1"/>
  <c r="Y55" i="1"/>
  <c r="Y56" i="1"/>
  <c r="Y61" i="1"/>
  <c r="Y69" i="1"/>
  <c r="Y74" i="1"/>
  <c r="Y75" i="1"/>
  <c r="Y79" i="1"/>
  <c r="Y80" i="1"/>
  <c r="Y86" i="1"/>
  <c r="Y99" i="1"/>
  <c r="Y100" i="1"/>
  <c r="Y101" i="1"/>
  <c r="Y104" i="1"/>
  <c r="Y105" i="1"/>
  <c r="Y108" i="1"/>
  <c r="Y112" i="1"/>
  <c r="Y117" i="1"/>
  <c r="Y123" i="1"/>
  <c r="Y126" i="1"/>
  <c r="Y127" i="1"/>
  <c r="Y128" i="1"/>
  <c r="Y133" i="1"/>
  <c r="Y134" i="1"/>
  <c r="Y135" i="1"/>
  <c r="Y136" i="1"/>
  <c r="Y140" i="1"/>
  <c r="Y141" i="1"/>
  <c r="Y147" i="1"/>
  <c r="Y153" i="1"/>
  <c r="Y154" i="1"/>
  <c r="Y155" i="1"/>
  <c r="Y158" i="1"/>
  <c r="Y159" i="1"/>
  <c r="Y162" i="1"/>
  <c r="Y163" i="1"/>
  <c r="Y172" i="1"/>
  <c r="Y173" i="1"/>
  <c r="Y176" i="1"/>
  <c r="Y177" i="1"/>
  <c r="X7" i="1"/>
  <c r="X8" i="1"/>
  <c r="X12" i="1"/>
  <c r="X13" i="1"/>
  <c r="X17" i="1"/>
  <c r="X18" i="1"/>
  <c r="X25" i="1"/>
  <c r="X26" i="1"/>
  <c r="X30" i="1"/>
  <c r="X31" i="1"/>
  <c r="X32" i="1"/>
  <c r="X37" i="1"/>
  <c r="X38" i="1"/>
  <c r="X41" i="1"/>
  <c r="X42" i="1"/>
  <c r="X43" i="1"/>
  <c r="X44" i="1"/>
  <c r="X48" i="1"/>
  <c r="X61" i="1"/>
  <c r="X62" i="1"/>
  <c r="X66" i="1"/>
  <c r="X67" i="1"/>
  <c r="X68" i="1"/>
  <c r="X71" i="1"/>
  <c r="X73" i="1"/>
  <c r="X79" i="1"/>
  <c r="X80" i="1"/>
  <c r="X84" i="1"/>
  <c r="X85" i="1"/>
  <c r="X86" i="1"/>
  <c r="X91" i="1"/>
  <c r="X92" i="1"/>
  <c r="X95" i="1"/>
  <c r="X97" i="1"/>
  <c r="X98" i="1"/>
  <c r="X99" i="1"/>
  <c r="X102" i="1"/>
  <c r="X103" i="1"/>
  <c r="X104" i="1"/>
  <c r="X115" i="1"/>
  <c r="X120" i="1"/>
  <c r="X121" i="1"/>
  <c r="X122" i="1"/>
  <c r="X123" i="1"/>
  <c r="X124" i="1"/>
  <c r="X127" i="1"/>
  <c r="X128" i="1"/>
  <c r="X133" i="1"/>
  <c r="X134" i="1"/>
  <c r="X138" i="1"/>
  <c r="X139" i="1"/>
  <c r="X140" i="1"/>
  <c r="X143" i="1"/>
  <c r="X144" i="1"/>
  <c r="X145" i="1"/>
  <c r="X146" i="1"/>
  <c r="X149" i="1"/>
  <c r="X150" i="1"/>
  <c r="X163" i="1"/>
  <c r="X164" i="1"/>
  <c r="X169" i="1"/>
  <c r="X170" i="1"/>
  <c r="X174" i="1"/>
  <c r="X175" i="1"/>
  <c r="V3" i="1"/>
  <c r="V4" i="1"/>
  <c r="V5" i="1"/>
  <c r="V6" i="1"/>
  <c r="Z6" i="1" s="1"/>
  <c r="V7" i="1"/>
  <c r="V8" i="1"/>
  <c r="V9" i="1"/>
  <c r="V10" i="1"/>
  <c r="V11" i="1"/>
  <c r="Z11" i="1" s="1"/>
  <c r="V12" i="1"/>
  <c r="Z12" i="1" s="1"/>
  <c r="V13" i="1"/>
  <c r="Z13" i="1" s="1"/>
  <c r="V14" i="1"/>
  <c r="V15" i="1"/>
  <c r="V16" i="1"/>
  <c r="Z16" i="1" s="1"/>
  <c r="V17" i="1"/>
  <c r="V18" i="1"/>
  <c r="Z18" i="1" s="1"/>
  <c r="V19" i="1"/>
  <c r="Z19" i="1" s="1"/>
  <c r="V20" i="1"/>
  <c r="Z20" i="1" s="1"/>
  <c r="V21" i="1"/>
  <c r="V22" i="1"/>
  <c r="V23" i="1"/>
  <c r="V24" i="1"/>
  <c r="V25" i="1"/>
  <c r="V26" i="1"/>
  <c r="Y26" i="1" s="1"/>
  <c r="V27" i="1"/>
  <c r="Z27" i="1" s="1"/>
  <c r="V28" i="1"/>
  <c r="V29" i="1"/>
  <c r="Z29" i="1" s="1"/>
  <c r="V30" i="1"/>
  <c r="Z30" i="1" s="1"/>
  <c r="V31" i="1"/>
  <c r="Z31" i="1" s="1"/>
  <c r="V32" i="1"/>
  <c r="V33" i="1"/>
  <c r="V34" i="1"/>
  <c r="V35" i="1"/>
  <c r="Z35" i="1" s="1"/>
  <c r="V36" i="1"/>
  <c r="Z36" i="1" s="1"/>
  <c r="V37" i="1"/>
  <c r="Z37" i="1" s="1"/>
  <c r="V38" i="1"/>
  <c r="Z38" i="1" s="1"/>
  <c r="V39" i="1"/>
  <c r="V40" i="1"/>
  <c r="V41" i="1"/>
  <c r="V42" i="1"/>
  <c r="V43" i="1"/>
  <c r="Y43" i="1" s="1"/>
  <c r="V44" i="1"/>
  <c r="Y44" i="1" s="1"/>
  <c r="V45" i="1"/>
  <c r="V46" i="1"/>
  <c r="V47" i="1"/>
  <c r="Z47" i="1" s="1"/>
  <c r="V48" i="1"/>
  <c r="Z48" i="1" s="1"/>
  <c r="V49" i="1"/>
  <c r="Z49" i="1" s="1"/>
  <c r="V50" i="1"/>
  <c r="V51" i="1"/>
  <c r="V52" i="1"/>
  <c r="Z52" i="1" s="1"/>
  <c r="V53" i="1"/>
  <c r="Z53" i="1" s="1"/>
  <c r="V54" i="1"/>
  <c r="V55" i="1"/>
  <c r="V56" i="1"/>
  <c r="Z56" i="1" s="1"/>
  <c r="V57" i="1"/>
  <c r="Z57" i="1" s="1"/>
  <c r="V58" i="1"/>
  <c r="V59" i="1"/>
  <c r="V60" i="1"/>
  <c r="V61" i="1"/>
  <c r="V62" i="1"/>
  <c r="Y62" i="1" s="1"/>
  <c r="V63" i="1"/>
  <c r="V64" i="1"/>
  <c r="V65" i="1"/>
  <c r="Z65" i="1" s="1"/>
  <c r="V66" i="1"/>
  <c r="Z66" i="1" s="1"/>
  <c r="V67" i="1"/>
  <c r="Z67" i="1" s="1"/>
  <c r="V68" i="1"/>
  <c r="V69" i="1"/>
  <c r="V70" i="1"/>
  <c r="V71" i="1"/>
  <c r="Z71" i="1" s="1"/>
  <c r="V72" i="1"/>
  <c r="Z72" i="1" s="1"/>
  <c r="V73" i="1"/>
  <c r="Z73" i="1" s="1"/>
  <c r="V74" i="1"/>
  <c r="Z74" i="1" s="1"/>
  <c r="V75" i="1"/>
  <c r="V76" i="1"/>
  <c r="V77" i="1"/>
  <c r="Z77" i="1" s="1"/>
  <c r="V78" i="1"/>
  <c r="Z78" i="1" s="1"/>
  <c r="V79" i="1"/>
  <c r="Z79" i="1" s="1"/>
  <c r="V80" i="1"/>
  <c r="Z80" i="1" s="1"/>
  <c r="V81" i="1"/>
  <c r="V82" i="1"/>
  <c r="V83" i="1"/>
  <c r="Z83" i="1" s="1"/>
  <c r="V84" i="1"/>
  <c r="Z84" i="1" s="1"/>
  <c r="V85" i="1"/>
  <c r="Z85" i="1" s="1"/>
  <c r="V86" i="1"/>
  <c r="V87" i="1"/>
  <c r="V88" i="1"/>
  <c r="V89" i="1"/>
  <c r="V90" i="1"/>
  <c r="V91" i="1"/>
  <c r="V92" i="1"/>
  <c r="Y92" i="1" s="1"/>
  <c r="V93" i="1"/>
  <c r="Z93" i="1" s="1"/>
  <c r="V94" i="1"/>
  <c r="V95" i="1"/>
  <c r="V96" i="1"/>
  <c r="Z96" i="1" s="1"/>
  <c r="V97" i="1"/>
  <c r="Z97" i="1" s="1"/>
  <c r="V98" i="1"/>
  <c r="Z98" i="1" s="1"/>
  <c r="V99" i="1"/>
  <c r="V100" i="1"/>
  <c r="V101" i="1"/>
  <c r="Z101" i="1" s="1"/>
  <c r="V102" i="1"/>
  <c r="Z102" i="1" s="1"/>
  <c r="V103" i="1"/>
  <c r="Z103" i="1" s="1"/>
  <c r="V104" i="1"/>
  <c r="V105" i="1"/>
  <c r="V106" i="1"/>
  <c r="V107" i="1"/>
  <c r="V108" i="1"/>
  <c r="V109" i="1"/>
  <c r="V110" i="1"/>
  <c r="Y110" i="1" s="1"/>
  <c r="V111" i="1"/>
  <c r="Y111" i="1" s="1"/>
  <c r="V112" i="1"/>
  <c r="V113" i="1"/>
  <c r="V114" i="1"/>
  <c r="Z114" i="1" s="1"/>
  <c r="V115" i="1"/>
  <c r="Z115" i="1" s="1"/>
  <c r="V116" i="1"/>
  <c r="Z116" i="1" s="1"/>
  <c r="V117" i="1"/>
  <c r="V118" i="1"/>
  <c r="V119" i="1"/>
  <c r="Z119" i="1" s="1"/>
  <c r="V120" i="1"/>
  <c r="Z120" i="1" s="1"/>
  <c r="V121" i="1"/>
  <c r="Z121" i="1" s="1"/>
  <c r="V122" i="1"/>
  <c r="V123" i="1"/>
  <c r="V124" i="1"/>
  <c r="Z124" i="1" s="1"/>
  <c r="V125" i="1"/>
  <c r="V126" i="1"/>
  <c r="V127" i="1"/>
  <c r="V128" i="1"/>
  <c r="Z128" i="1" s="1"/>
  <c r="V129" i="1"/>
  <c r="V130" i="1"/>
  <c r="V131" i="1"/>
  <c r="V132" i="1"/>
  <c r="V133" i="1"/>
  <c r="V134" i="1"/>
  <c r="V135" i="1"/>
  <c r="V136" i="1"/>
  <c r="V137" i="1"/>
  <c r="Z137" i="1" s="1"/>
  <c r="V138" i="1"/>
  <c r="Z138" i="1" s="1"/>
  <c r="V139" i="1"/>
  <c r="Z139" i="1" s="1"/>
  <c r="V140" i="1"/>
  <c r="V141" i="1"/>
  <c r="V142" i="1"/>
  <c r="Z142" i="1" s="1"/>
  <c r="V143" i="1"/>
  <c r="Z143" i="1" s="1"/>
  <c r="V144" i="1"/>
  <c r="Z144" i="1" s="1"/>
  <c r="V145" i="1"/>
  <c r="V146" i="1"/>
  <c r="Y146" i="1" s="1"/>
  <c r="V147" i="1"/>
  <c r="Z147" i="1" s="1"/>
  <c r="V148" i="1"/>
  <c r="V149" i="1"/>
  <c r="V150" i="1"/>
  <c r="V151" i="1"/>
  <c r="Y151" i="1" s="1"/>
  <c r="V152" i="1"/>
  <c r="Z152" i="1" s="1"/>
  <c r="V153" i="1"/>
  <c r="V154" i="1"/>
  <c r="V155" i="1"/>
  <c r="Z155" i="1" s="1"/>
  <c r="V156" i="1"/>
  <c r="Z156" i="1" s="1"/>
  <c r="V157" i="1"/>
  <c r="Z157" i="1" s="1"/>
  <c r="V158" i="1"/>
  <c r="V159" i="1"/>
  <c r="V160" i="1"/>
  <c r="V161" i="1"/>
  <c r="V162" i="1"/>
  <c r="Z162" i="1" s="1"/>
  <c r="V163" i="1"/>
  <c r="Z163" i="1" s="1"/>
  <c r="V164" i="1"/>
  <c r="Z164" i="1" s="1"/>
  <c r="V165" i="1"/>
  <c r="V166" i="1"/>
  <c r="V167" i="1"/>
  <c r="V168" i="1"/>
  <c r="V169" i="1"/>
  <c r="Y169" i="1" s="1"/>
  <c r="V170" i="1"/>
  <c r="Y170" i="1" s="1"/>
  <c r="V171" i="1"/>
  <c r="V172" i="1"/>
  <c r="V173" i="1"/>
  <c r="Z173" i="1" s="1"/>
  <c r="V174" i="1"/>
  <c r="Z174" i="1" s="1"/>
  <c r="V175" i="1"/>
  <c r="Z175" i="1" s="1"/>
  <c r="V176" i="1"/>
  <c r="V177" i="1"/>
  <c r="V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X20" i="1" s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X33" i="1" s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X49" i="1" s="1"/>
  <c r="U50" i="1"/>
  <c r="U51" i="1"/>
  <c r="X51" i="1" s="1"/>
  <c r="U52" i="1"/>
  <c r="U53" i="1"/>
  <c r="U54" i="1"/>
  <c r="U55" i="1"/>
  <c r="U56" i="1"/>
  <c r="X56" i="1" s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X87" i="1" s="1"/>
  <c r="U88" i="1"/>
  <c r="X88" i="1" s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X110" i="1" s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X141" i="1" s="1"/>
  <c r="U142" i="1"/>
  <c r="X142" i="1" s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X156" i="1" s="1"/>
  <c r="U157" i="1"/>
  <c r="X157" i="1" s="1"/>
  <c r="U158" i="1"/>
  <c r="U159" i="1"/>
  <c r="X159" i="1" s="1"/>
  <c r="U160" i="1"/>
  <c r="X160" i="1" s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S2" i="1"/>
  <c r="R2" i="1"/>
  <c r="S3" i="1"/>
  <c r="Y3" i="1" s="1"/>
  <c r="S4" i="1"/>
  <c r="Y4" i="1" s="1"/>
  <c r="S5" i="1"/>
  <c r="Y5" i="1" s="1"/>
  <c r="S6" i="1"/>
  <c r="Y6" i="1" s="1"/>
  <c r="S7" i="1"/>
  <c r="S8" i="1"/>
  <c r="S9" i="1"/>
  <c r="Y9" i="1" s="1"/>
  <c r="S10" i="1"/>
  <c r="S11" i="1"/>
  <c r="Y11" i="1" s="1"/>
  <c r="S12" i="1"/>
  <c r="Y12" i="1" s="1"/>
  <c r="S13" i="1"/>
  <c r="S14" i="1"/>
  <c r="S15" i="1"/>
  <c r="S16" i="1"/>
  <c r="S17" i="1"/>
  <c r="Y17" i="1" s="1"/>
  <c r="S18" i="1"/>
  <c r="S19" i="1"/>
  <c r="S20" i="1"/>
  <c r="S21" i="1"/>
  <c r="S22" i="1"/>
  <c r="Y22" i="1" s="1"/>
  <c r="S23" i="1"/>
  <c r="Y23" i="1" s="1"/>
  <c r="S24" i="1"/>
  <c r="Y24" i="1" s="1"/>
  <c r="S25" i="1"/>
  <c r="S26" i="1"/>
  <c r="S27" i="1"/>
  <c r="Y27" i="1" s="1"/>
  <c r="S28" i="1"/>
  <c r="Y28" i="1" s="1"/>
  <c r="S29" i="1"/>
  <c r="Y29" i="1" s="1"/>
  <c r="S30" i="1"/>
  <c r="Y30" i="1" s="1"/>
  <c r="S31" i="1"/>
  <c r="Y31" i="1" s="1"/>
  <c r="S32" i="1"/>
  <c r="S33" i="1"/>
  <c r="S34" i="1"/>
  <c r="S35" i="1"/>
  <c r="Y35" i="1" s="1"/>
  <c r="S36" i="1"/>
  <c r="Y36" i="1" s="1"/>
  <c r="S37" i="1"/>
  <c r="Y37" i="1" s="1"/>
  <c r="S38" i="1"/>
  <c r="S39" i="1"/>
  <c r="S40" i="1"/>
  <c r="Y40" i="1" s="1"/>
  <c r="S41" i="1"/>
  <c r="Y41" i="1" s="1"/>
  <c r="S42" i="1"/>
  <c r="Y42" i="1" s="1"/>
  <c r="S43" i="1"/>
  <c r="S44" i="1"/>
  <c r="S45" i="1"/>
  <c r="S46" i="1"/>
  <c r="S47" i="1"/>
  <c r="Y47" i="1" s="1"/>
  <c r="S48" i="1"/>
  <c r="S49" i="1"/>
  <c r="S50" i="1"/>
  <c r="S51" i="1"/>
  <c r="S52" i="1"/>
  <c r="S53" i="1"/>
  <c r="Y53" i="1" s="1"/>
  <c r="S54" i="1"/>
  <c r="S55" i="1"/>
  <c r="S56" i="1"/>
  <c r="S57" i="1"/>
  <c r="S58" i="1"/>
  <c r="Y58" i="1" s="1"/>
  <c r="S59" i="1"/>
  <c r="Y59" i="1" s="1"/>
  <c r="S60" i="1"/>
  <c r="Y60" i="1" s="1"/>
  <c r="S61" i="1"/>
  <c r="S62" i="1"/>
  <c r="S63" i="1"/>
  <c r="Y63" i="1" s="1"/>
  <c r="S64" i="1"/>
  <c r="Y64" i="1" s="1"/>
  <c r="S65" i="1"/>
  <c r="Y65" i="1" s="1"/>
  <c r="S66" i="1"/>
  <c r="Y66" i="1" s="1"/>
  <c r="S67" i="1"/>
  <c r="S68" i="1"/>
  <c r="Y68" i="1" s="1"/>
  <c r="S69" i="1"/>
  <c r="S70" i="1"/>
  <c r="S71" i="1"/>
  <c r="Y71" i="1" s="1"/>
  <c r="S72" i="1"/>
  <c r="Y72" i="1" s="1"/>
  <c r="S73" i="1"/>
  <c r="Y73" i="1" s="1"/>
  <c r="S74" i="1"/>
  <c r="S75" i="1"/>
  <c r="S76" i="1"/>
  <c r="Y76" i="1" s="1"/>
  <c r="S77" i="1"/>
  <c r="Y77" i="1" s="1"/>
  <c r="S78" i="1"/>
  <c r="Y78" i="1" s="1"/>
  <c r="S79" i="1"/>
  <c r="S80" i="1"/>
  <c r="S81" i="1"/>
  <c r="Y81" i="1" s="1"/>
  <c r="S82" i="1"/>
  <c r="Y82" i="1" s="1"/>
  <c r="S83" i="1"/>
  <c r="Y83" i="1" s="1"/>
  <c r="S84" i="1"/>
  <c r="Y84" i="1" s="1"/>
  <c r="S85" i="1"/>
  <c r="Y85" i="1" s="1"/>
  <c r="S86" i="1"/>
  <c r="S87" i="1"/>
  <c r="Y87" i="1" s="1"/>
  <c r="S88" i="1"/>
  <c r="S89" i="1"/>
  <c r="Y89" i="1" s="1"/>
  <c r="S90" i="1"/>
  <c r="Y90" i="1" s="1"/>
  <c r="S91" i="1"/>
  <c r="Y91" i="1" s="1"/>
  <c r="S92" i="1"/>
  <c r="S93" i="1"/>
  <c r="S94" i="1"/>
  <c r="Y94" i="1" s="1"/>
  <c r="S95" i="1"/>
  <c r="Y95" i="1" s="1"/>
  <c r="S96" i="1"/>
  <c r="Y96" i="1" s="1"/>
  <c r="S97" i="1"/>
  <c r="S98" i="1"/>
  <c r="S99" i="1"/>
  <c r="S100" i="1"/>
  <c r="S101" i="1"/>
  <c r="S102" i="1"/>
  <c r="S103" i="1"/>
  <c r="S104" i="1"/>
  <c r="S105" i="1"/>
  <c r="S106" i="1"/>
  <c r="S107" i="1"/>
  <c r="Y107" i="1" s="1"/>
  <c r="S108" i="1"/>
  <c r="S109" i="1"/>
  <c r="Y109" i="1" s="1"/>
  <c r="S110" i="1"/>
  <c r="S111" i="1"/>
  <c r="S112" i="1"/>
  <c r="S113" i="1"/>
  <c r="Y113" i="1" s="1"/>
  <c r="S114" i="1"/>
  <c r="Y114" i="1" s="1"/>
  <c r="S115" i="1"/>
  <c r="S116" i="1"/>
  <c r="S117" i="1"/>
  <c r="S118" i="1"/>
  <c r="Y118" i="1" s="1"/>
  <c r="S119" i="1"/>
  <c r="Y119" i="1" s="1"/>
  <c r="S120" i="1"/>
  <c r="Y120" i="1" s="1"/>
  <c r="S121" i="1"/>
  <c r="Y121" i="1" s="1"/>
  <c r="S122" i="1"/>
  <c r="Y122" i="1" s="1"/>
  <c r="S123" i="1"/>
  <c r="S124" i="1"/>
  <c r="S125" i="1"/>
  <c r="Y125" i="1" s="1"/>
  <c r="S126" i="1"/>
  <c r="S127" i="1"/>
  <c r="S128" i="1"/>
  <c r="S129" i="1"/>
  <c r="Y129" i="1" s="1"/>
  <c r="S130" i="1"/>
  <c r="Y130" i="1" s="1"/>
  <c r="S131" i="1"/>
  <c r="Y131" i="1" s="1"/>
  <c r="S132" i="1"/>
  <c r="Y132" i="1" s="1"/>
  <c r="S133" i="1"/>
  <c r="S134" i="1"/>
  <c r="S135" i="1"/>
  <c r="S136" i="1"/>
  <c r="S137" i="1"/>
  <c r="Y137" i="1" s="1"/>
  <c r="S138" i="1"/>
  <c r="Y138" i="1" s="1"/>
  <c r="S139" i="1"/>
  <c r="Y139" i="1" s="1"/>
  <c r="S140" i="1"/>
  <c r="S141" i="1"/>
  <c r="S142" i="1"/>
  <c r="S143" i="1"/>
  <c r="Y143" i="1" s="1"/>
  <c r="S144" i="1"/>
  <c r="Y144" i="1" s="1"/>
  <c r="S145" i="1"/>
  <c r="Y145" i="1" s="1"/>
  <c r="S146" i="1"/>
  <c r="S147" i="1"/>
  <c r="S148" i="1"/>
  <c r="Y148" i="1" s="1"/>
  <c r="S149" i="1"/>
  <c r="Y149" i="1" s="1"/>
  <c r="S150" i="1"/>
  <c r="Y150" i="1" s="1"/>
  <c r="S151" i="1"/>
  <c r="S152" i="1"/>
  <c r="S153" i="1"/>
  <c r="S154" i="1"/>
  <c r="S155" i="1"/>
  <c r="S156" i="1"/>
  <c r="S157" i="1"/>
  <c r="S158" i="1"/>
  <c r="S159" i="1"/>
  <c r="S160" i="1"/>
  <c r="S161" i="1"/>
  <c r="Y161" i="1" s="1"/>
  <c r="S162" i="1"/>
  <c r="S163" i="1"/>
  <c r="S164" i="1"/>
  <c r="Y164" i="1" s="1"/>
  <c r="S165" i="1"/>
  <c r="Y165" i="1" s="1"/>
  <c r="S166" i="1"/>
  <c r="Y166" i="1" s="1"/>
  <c r="S167" i="1"/>
  <c r="Y167" i="1" s="1"/>
  <c r="S168" i="1"/>
  <c r="Y168" i="1" s="1"/>
  <c r="S169" i="1"/>
  <c r="S170" i="1"/>
  <c r="S171" i="1"/>
  <c r="Y171" i="1" s="1"/>
  <c r="S172" i="1"/>
  <c r="S173" i="1"/>
  <c r="S174" i="1"/>
  <c r="Y174" i="1" s="1"/>
  <c r="S175" i="1"/>
  <c r="Y175" i="1" s="1"/>
  <c r="S176" i="1"/>
  <c r="S177" i="1"/>
  <c r="R3" i="1"/>
  <c r="R4" i="1"/>
  <c r="R5" i="1"/>
  <c r="X5" i="1" s="1"/>
  <c r="R6" i="1"/>
  <c r="X6" i="1" s="1"/>
  <c r="R7" i="1"/>
  <c r="R8" i="1"/>
  <c r="R9" i="1"/>
  <c r="X9" i="1" s="1"/>
  <c r="R10" i="1"/>
  <c r="X10" i="1" s="1"/>
  <c r="R11" i="1"/>
  <c r="X11" i="1" s="1"/>
  <c r="R12" i="1"/>
  <c r="R13" i="1"/>
  <c r="R14" i="1"/>
  <c r="X14" i="1" s="1"/>
  <c r="R15" i="1"/>
  <c r="R16" i="1"/>
  <c r="R17" i="1"/>
  <c r="R18" i="1"/>
  <c r="R19" i="1"/>
  <c r="X19" i="1" s="1"/>
  <c r="R20" i="1"/>
  <c r="R21" i="1"/>
  <c r="R22" i="1"/>
  <c r="R23" i="1"/>
  <c r="X23" i="1" s="1"/>
  <c r="R24" i="1"/>
  <c r="X24" i="1" s="1"/>
  <c r="R25" i="1"/>
  <c r="R26" i="1"/>
  <c r="R27" i="1"/>
  <c r="X27" i="1" s="1"/>
  <c r="R28" i="1"/>
  <c r="X28" i="1" s="1"/>
  <c r="R29" i="1"/>
  <c r="X29" i="1" s="1"/>
  <c r="R30" i="1"/>
  <c r="R31" i="1"/>
  <c r="R32" i="1"/>
  <c r="R33" i="1"/>
  <c r="R34" i="1"/>
  <c r="R35" i="1"/>
  <c r="X35" i="1" s="1"/>
  <c r="R36" i="1"/>
  <c r="X36" i="1" s="1"/>
  <c r="R37" i="1"/>
  <c r="R38" i="1"/>
  <c r="R39" i="1"/>
  <c r="R40" i="1"/>
  <c r="R41" i="1"/>
  <c r="R42" i="1"/>
  <c r="R43" i="1"/>
  <c r="R44" i="1"/>
  <c r="R45" i="1"/>
  <c r="X45" i="1" s="1"/>
  <c r="R46" i="1"/>
  <c r="X46" i="1" s="1"/>
  <c r="R47" i="1"/>
  <c r="X47" i="1" s="1"/>
  <c r="R48" i="1"/>
  <c r="R49" i="1"/>
  <c r="R50" i="1"/>
  <c r="X50" i="1" s="1"/>
  <c r="R51" i="1"/>
  <c r="R52" i="1"/>
  <c r="X52" i="1" s="1"/>
  <c r="R53" i="1"/>
  <c r="X53" i="1" s="1"/>
  <c r="R54" i="1"/>
  <c r="X54" i="1" s="1"/>
  <c r="R55" i="1"/>
  <c r="X55" i="1" s="1"/>
  <c r="R56" i="1"/>
  <c r="R57" i="1"/>
  <c r="R58" i="1"/>
  <c r="R59" i="1"/>
  <c r="X59" i="1" s="1"/>
  <c r="R60" i="1"/>
  <c r="X60" i="1" s="1"/>
  <c r="R61" i="1"/>
  <c r="R62" i="1"/>
  <c r="R63" i="1"/>
  <c r="X63" i="1" s="1"/>
  <c r="R64" i="1"/>
  <c r="X64" i="1" s="1"/>
  <c r="R65" i="1"/>
  <c r="X65" i="1" s="1"/>
  <c r="R66" i="1"/>
  <c r="R67" i="1"/>
  <c r="R68" i="1"/>
  <c r="R69" i="1"/>
  <c r="R70" i="1"/>
  <c r="R71" i="1"/>
  <c r="R72" i="1"/>
  <c r="X72" i="1" s="1"/>
  <c r="R73" i="1"/>
  <c r="R74" i="1"/>
  <c r="X74" i="1" s="1"/>
  <c r="R75" i="1"/>
  <c r="R76" i="1"/>
  <c r="R77" i="1"/>
  <c r="R78" i="1"/>
  <c r="X78" i="1" s="1"/>
  <c r="R79" i="1"/>
  <c r="R80" i="1"/>
  <c r="R81" i="1"/>
  <c r="X81" i="1" s="1"/>
  <c r="R82" i="1"/>
  <c r="X82" i="1" s="1"/>
  <c r="R83" i="1"/>
  <c r="X83" i="1" s="1"/>
  <c r="R84" i="1"/>
  <c r="R85" i="1"/>
  <c r="R86" i="1"/>
  <c r="R87" i="1"/>
  <c r="R88" i="1"/>
  <c r="R89" i="1"/>
  <c r="X89" i="1" s="1"/>
  <c r="R90" i="1"/>
  <c r="X90" i="1" s="1"/>
  <c r="R91" i="1"/>
  <c r="R92" i="1"/>
  <c r="R93" i="1"/>
  <c r="R94" i="1"/>
  <c r="R95" i="1"/>
  <c r="R96" i="1"/>
  <c r="X96" i="1" s="1"/>
  <c r="R97" i="1"/>
  <c r="R98" i="1"/>
  <c r="R99" i="1"/>
  <c r="R100" i="1"/>
  <c r="X100" i="1" s="1"/>
  <c r="R101" i="1"/>
  <c r="X101" i="1" s="1"/>
  <c r="R102" i="1"/>
  <c r="R103" i="1"/>
  <c r="R104" i="1"/>
  <c r="R105" i="1"/>
  <c r="X105" i="1" s="1"/>
  <c r="R106" i="1"/>
  <c r="X106" i="1" s="1"/>
  <c r="R107" i="1"/>
  <c r="X107" i="1" s="1"/>
  <c r="R108" i="1"/>
  <c r="X108" i="1" s="1"/>
  <c r="R109" i="1"/>
  <c r="X109" i="1" s="1"/>
  <c r="R110" i="1"/>
  <c r="R111" i="1"/>
  <c r="R112" i="1"/>
  <c r="R113" i="1"/>
  <c r="X113" i="1" s="1"/>
  <c r="R114" i="1"/>
  <c r="X114" i="1" s="1"/>
  <c r="R115" i="1"/>
  <c r="R116" i="1"/>
  <c r="X116" i="1" s="1"/>
  <c r="R117" i="1"/>
  <c r="X117" i="1" s="1"/>
  <c r="R118" i="1"/>
  <c r="X118" i="1" s="1"/>
  <c r="R119" i="1"/>
  <c r="X119" i="1" s="1"/>
  <c r="R120" i="1"/>
  <c r="R121" i="1"/>
  <c r="R122" i="1"/>
  <c r="R123" i="1"/>
  <c r="R124" i="1"/>
  <c r="R125" i="1"/>
  <c r="X125" i="1" s="1"/>
  <c r="R126" i="1"/>
  <c r="X126" i="1" s="1"/>
  <c r="R127" i="1"/>
  <c r="R128" i="1"/>
  <c r="R129" i="1"/>
  <c r="R130" i="1"/>
  <c r="R131" i="1"/>
  <c r="R132" i="1"/>
  <c r="X132" i="1" s="1"/>
  <c r="R133" i="1"/>
  <c r="R134" i="1"/>
  <c r="R135" i="1"/>
  <c r="X135" i="1" s="1"/>
  <c r="R136" i="1"/>
  <c r="X136" i="1" s="1"/>
  <c r="R137" i="1"/>
  <c r="X137" i="1" s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X151" i="1" s="1"/>
  <c r="R152" i="1"/>
  <c r="X152" i="1" s="1"/>
  <c r="R153" i="1"/>
  <c r="X153" i="1" s="1"/>
  <c r="R154" i="1"/>
  <c r="X154" i="1" s="1"/>
  <c r="R155" i="1"/>
  <c r="X155" i="1" s="1"/>
  <c r="R156" i="1"/>
  <c r="R157" i="1"/>
  <c r="R158" i="1"/>
  <c r="X158" i="1" s="1"/>
  <c r="R159" i="1"/>
  <c r="R160" i="1"/>
  <c r="R161" i="1"/>
  <c r="X161" i="1" s="1"/>
  <c r="R162" i="1"/>
  <c r="X162" i="1" s="1"/>
  <c r="R163" i="1"/>
  <c r="R164" i="1"/>
  <c r="R165" i="1"/>
  <c r="R166" i="1"/>
  <c r="R167" i="1"/>
  <c r="X167" i="1" s="1"/>
  <c r="R168" i="1"/>
  <c r="X168" i="1" s="1"/>
  <c r="R169" i="1"/>
  <c r="R170" i="1"/>
  <c r="R171" i="1"/>
  <c r="X171" i="1" s="1"/>
  <c r="R172" i="1"/>
  <c r="X172" i="1" s="1"/>
  <c r="R173" i="1"/>
  <c r="X173" i="1" s="1"/>
  <c r="R174" i="1"/>
  <c r="R175" i="1"/>
  <c r="R176" i="1"/>
  <c r="X176" i="1" s="1"/>
  <c r="R177" i="1"/>
  <c r="Z8" i="1" l="1"/>
  <c r="Y8" i="1"/>
  <c r="Y98" i="1"/>
  <c r="Y13" i="1"/>
  <c r="X131" i="1"/>
  <c r="X77" i="1"/>
  <c r="Z7" i="1"/>
  <c r="Y7" i="1"/>
  <c r="Y97" i="1"/>
  <c r="X166" i="1"/>
  <c r="X148" i="1"/>
  <c r="X130" i="1"/>
  <c r="X112" i="1"/>
  <c r="X94" i="1"/>
  <c r="X76" i="1"/>
  <c r="X58" i="1"/>
  <c r="X40" i="1"/>
  <c r="X22" i="1"/>
  <c r="X4" i="1"/>
  <c r="Y152" i="1"/>
  <c r="Y38" i="1"/>
  <c r="Z44" i="1"/>
  <c r="Y93" i="1"/>
  <c r="Z43" i="1"/>
  <c r="Y157" i="1"/>
  <c r="Y156" i="1"/>
  <c r="Y103" i="1"/>
  <c r="Y67" i="1"/>
  <c r="Y49" i="1"/>
  <c r="Y102" i="1"/>
  <c r="Y48" i="1"/>
  <c r="Y116" i="1"/>
  <c r="X70" i="1"/>
  <c r="X34" i="1"/>
  <c r="X16" i="1"/>
  <c r="Y115" i="1"/>
  <c r="X177" i="1"/>
  <c r="X69" i="1"/>
  <c r="X15" i="1"/>
  <c r="Y57" i="1"/>
  <c r="X165" i="1"/>
  <c r="X147" i="1"/>
  <c r="X129" i="1"/>
  <c r="X111" i="1"/>
  <c r="X93" i="1"/>
  <c r="X75" i="1"/>
  <c r="X57" i="1"/>
  <c r="X39" i="1"/>
  <c r="X21" i="1"/>
  <c r="X3" i="1"/>
  <c r="Y160" i="1"/>
  <c r="Y142" i="1"/>
  <c r="Y124" i="1"/>
  <c r="Y106" i="1"/>
  <c r="Y88" i="1"/>
  <c r="Y70" i="1"/>
  <c r="Y52" i="1"/>
  <c r="Y34" i="1"/>
  <c r="Y16" i="1"/>
</calcChain>
</file>

<file path=xl/sharedStrings.xml><?xml version="1.0" encoding="utf-8"?>
<sst xmlns="http://schemas.openxmlformats.org/spreadsheetml/2006/main" count="27" uniqueCount="27">
  <si>
    <t>I1</t>
  </si>
  <si>
    <t>I2</t>
  </si>
  <si>
    <t>I3</t>
  </si>
  <si>
    <t>gx</t>
  </si>
  <si>
    <t>gy</t>
  </si>
  <si>
    <t>gz</t>
  </si>
  <si>
    <t>ax</t>
  </si>
  <si>
    <t>ay</t>
  </si>
  <si>
    <t>az</t>
  </si>
  <si>
    <t>V1real</t>
  </si>
  <si>
    <t>V2real</t>
  </si>
  <si>
    <t>V3real</t>
  </si>
  <si>
    <t>N1</t>
  </si>
  <si>
    <t>N2</t>
  </si>
  <si>
    <t>N3</t>
  </si>
  <si>
    <t>Type</t>
  </si>
  <si>
    <t>Vx</t>
  </si>
  <si>
    <t>Vy</t>
  </si>
  <si>
    <t>Ix</t>
  </si>
  <si>
    <t>Iy</t>
  </si>
  <si>
    <t>Tx</t>
  </si>
  <si>
    <t>Ty</t>
  </si>
  <si>
    <t>Tz</t>
  </si>
  <si>
    <t>omega</t>
  </si>
  <si>
    <t>If</t>
  </si>
  <si>
    <t>Tf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</si>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</sst>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2" fillId="0" borderId="0" xfId="0" applyNumberFormat="1" applyFont="1"/>
    <xf numFmtId="11" fontId="2" fillId="0" borderId="0" xfId="0" applyNumberFormat="1" applyFont="1"/>
    <xf numFmtId="0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7"/>
  <sheetViews>
    <sheetView tabSelected="1" topLeftCell="I1" workbookViewId="0">
      <selection activeCell="AA1" sqref="AA1"/>
    </sheetView>
  </sheetViews>
  <sheetFormatPr defaultColWidth="9.109375" defaultRowHeight="14.4" x14ac:dyDescent="0.3"/>
  <cols>
    <col min="17" max="17" width="12" bestFit="1" customWidth="1"/>
    <col min="20" max="20" width="16.8867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23</v>
      </c>
      <c r="T1" s="2" t="s">
        <v>18</v>
      </c>
      <c r="U1" s="2" t="s">
        <v>19</v>
      </c>
      <c r="V1" t="s">
        <v>24</v>
      </c>
      <c r="W1" t="s">
        <v>26</v>
      </c>
      <c r="X1" t="s">
        <v>20</v>
      </c>
      <c r="Y1" t="s">
        <v>21</v>
      </c>
      <c r="Z1" t="s">
        <v>25</v>
      </c>
      <c r="AA1" t="s">
        <v>22</v>
      </c>
    </row>
    <row r="2" spans="1:27" x14ac:dyDescent="0.3">
      <c r="A2">
        <v>1.1266970000000001</v>
      </c>
      <c r="B2">
        <v>2.1116117647058799E-2</v>
      </c>
      <c r="C2">
        <v>0.92760105882352895</v>
      </c>
      <c r="D2">
        <v>0.71294117647058797</v>
      </c>
      <c r="E2">
        <v>-0.25294117705882402</v>
      </c>
      <c r="F2">
        <v>1.0817647058823501</v>
      </c>
      <c r="G2">
        <v>4.3528879411764698E-2</v>
      </c>
      <c r="H2">
        <v>3.1738523529411802E-3</v>
      </c>
      <c r="I2">
        <v>1.16613017647059E-2</v>
      </c>
      <c r="J2">
        <v>-249.35294117647101</v>
      </c>
      <c r="K2">
        <v>4.7647058823529402</v>
      </c>
      <c r="L2">
        <v>265.23529411764702</v>
      </c>
      <c r="M2">
        <v>-5070</v>
      </c>
      <c r="N2">
        <v>30</v>
      </c>
      <c r="O2">
        <v>5239</v>
      </c>
      <c r="P2">
        <v>1</v>
      </c>
      <c r="Q2">
        <f>((-2/3)*COS(-30*3.1415/180)+(2/3)*SIN(0*3.1415/180)+(2/3)*COS(30*3.1415*180))*J2*40</f>
        <v>-75.746600894092808</v>
      </c>
      <c r="R2">
        <f>((-2/3)*SIN(-30*3.1415/180)-((2/3)*COS(0*3.1415/180))+(2/3)*SIN(30*3.1415/180))*K2*40</f>
        <v>-3.39843050279127E-3</v>
      </c>
      <c r="S2">
        <f>(40*L2)/(3*125)</f>
        <v>28.29176470588235</v>
      </c>
      <c r="T2">
        <f>((-2/3)*COS(-30*3.1415/180)+(2/3)*SIN(0*3.1415/180)+(2/3)*COS(30*3.1415*180))*A2</f>
        <v>8.5564930159749714E-3</v>
      </c>
      <c r="U2">
        <f>((-2/3)*SIN(-30*3.1415/180)+(-2/3)*COS(0*3.1415/180)+(2/3)*SIN(30*3.1415*180))*B2</f>
        <v>-1.3792033748042621E-2</v>
      </c>
      <c r="V2">
        <f>C2/3</f>
        <v>0.30920035294117632</v>
      </c>
      <c r="W2">
        <f>SUM(T2:V2)</f>
        <v>0.30396481220910865</v>
      </c>
      <c r="X2">
        <f>Q2/T2</f>
        <v>-8852.5288050459349</v>
      </c>
      <c r="Y2">
        <f>R2/U2</f>
        <v>0.24640532098999385</v>
      </c>
      <c r="Z2">
        <f>S2/V2</f>
        <v>91.499781409579128</v>
      </c>
      <c r="AA2">
        <f>F2/V2</f>
        <v>3.498588198856778</v>
      </c>
    </row>
    <row r="3" spans="1:27" x14ac:dyDescent="0.3">
      <c r="A3">
        <v>1.03921505882353</v>
      </c>
      <c r="B3">
        <v>1.5082947058823499E-2</v>
      </c>
      <c r="C3">
        <v>0.95324276470588198</v>
      </c>
      <c r="D3">
        <v>0.22941176470588201</v>
      </c>
      <c r="E3">
        <v>0.27647058823529402</v>
      </c>
      <c r="F3">
        <v>0.48529411764705899</v>
      </c>
      <c r="G3">
        <v>1.3671867058823501E-2</v>
      </c>
      <c r="H3">
        <v>-5.5721647058823501E-3</v>
      </c>
      <c r="I3">
        <v>1.21639499411765E-2</v>
      </c>
      <c r="J3">
        <v>-260.47058823529397</v>
      </c>
      <c r="K3">
        <v>0</v>
      </c>
      <c r="L3">
        <v>263.64705882352899</v>
      </c>
      <c r="M3">
        <v>-5320</v>
      </c>
      <c r="N3">
        <v>-9</v>
      </c>
      <c r="O3">
        <v>5391</v>
      </c>
      <c r="P3">
        <v>1</v>
      </c>
      <c r="Q3">
        <f t="shared" ref="Q3:Q66" si="0">((-2/3)*COS(-30*3.1415/180)+(2/3)*SIN(0*3.1415/180)+(2/3)*COS(30*3.1415*180))*J3*40</f>
        <v>-79.123837876631796</v>
      </c>
      <c r="R3">
        <f t="shared" ref="R3:R66" si="1">((-2/3)*SIN(-30*3.1415/180)-((2/3)*COS(0*3.1415/180))+(2/3)*SIN(30*3.1415/180))*K3*40</f>
        <v>0</v>
      </c>
      <c r="S3">
        <f t="shared" ref="S3:S66" si="2">(40*L3)/(3*125)</f>
        <v>28.122352941176427</v>
      </c>
      <c r="T3">
        <f t="shared" ref="T3:T66" si="3">((-2/3)*COS(-30*3.1415/180)+(2/3)*SIN(0*3.1415/180)+(2/3)*COS(30*3.1415*180))*A3</f>
        <v>7.892127513359451E-3</v>
      </c>
      <c r="U3">
        <f t="shared" ref="U3:U66" si="4">((-2/3)*SIN(-30*3.1415/180)+(-2/3)*COS(0*3.1415/180)+(2/3)*SIN(30*3.1415*180))*B3</f>
        <v>-9.8514565192436791E-3</v>
      </c>
      <c r="V3">
        <f t="shared" ref="V3:V66" si="5">C3/3</f>
        <v>0.31774758823529398</v>
      </c>
      <c r="W3">
        <f t="shared" ref="W3:W66" si="6">SUM(T3:V3)</f>
        <v>0.31578825922940973</v>
      </c>
      <c r="X3">
        <f t="shared" ref="X3:X66" si="7">R3/U3</f>
        <v>0</v>
      </c>
      <c r="Y3">
        <f t="shared" ref="Y3:Y66" si="8">S3/V3</f>
        <v>88.505323037579302</v>
      </c>
      <c r="Z3">
        <f t="shared" ref="Z3:Z66" si="9">F3/V3</f>
        <v>1.5272944173779088</v>
      </c>
      <c r="AA3">
        <f t="shared" ref="AA3:AA66" si="10">F3/V3</f>
        <v>1.5272944173779088</v>
      </c>
    </row>
    <row r="4" spans="1:27" x14ac:dyDescent="0.3">
      <c r="A4">
        <v>0.91101076470588305</v>
      </c>
      <c r="B4">
        <v>4.5248882352941196E-3</v>
      </c>
      <c r="C4">
        <v>0.94720988235294101</v>
      </c>
      <c r="D4">
        <v>1.1705882352941199</v>
      </c>
      <c r="E4">
        <v>0.222941176470588</v>
      </c>
      <c r="F4">
        <v>0.66411764705882403</v>
      </c>
      <c r="G4">
        <v>1.17043911764706E-2</v>
      </c>
      <c r="H4">
        <v>3.7195615882353E-3</v>
      </c>
      <c r="I4">
        <v>5.7444993529411799E-3</v>
      </c>
      <c r="J4">
        <v>-268.41176470588198</v>
      </c>
      <c r="K4">
        <v>0</v>
      </c>
      <c r="L4">
        <v>268.41176470588198</v>
      </c>
      <c r="M4">
        <v>-4829</v>
      </c>
      <c r="N4">
        <v>6</v>
      </c>
      <c r="O4">
        <v>4786</v>
      </c>
      <c r="P4">
        <v>1</v>
      </c>
      <c r="Q4">
        <f t="shared" si="0"/>
        <v>-81.536150007016843</v>
      </c>
      <c r="R4">
        <f t="shared" si="1"/>
        <v>0</v>
      </c>
      <c r="S4">
        <f t="shared" si="2"/>
        <v>28.630588235294077</v>
      </c>
      <c r="T4">
        <f t="shared" si="3"/>
        <v>6.9185035956285555E-3</v>
      </c>
      <c r="U4">
        <f t="shared" si="4"/>
        <v>-2.955439645222381E-3</v>
      </c>
      <c r="V4">
        <f t="shared" si="5"/>
        <v>0.31573662745098036</v>
      </c>
      <c r="W4">
        <f t="shared" si="6"/>
        <v>0.31969969140138654</v>
      </c>
      <c r="X4">
        <f t="shared" si="7"/>
        <v>0</v>
      </c>
      <c r="Y4">
        <f t="shared" si="8"/>
        <v>90.67870416693772</v>
      </c>
      <c r="Z4">
        <f t="shared" si="9"/>
        <v>2.1033912106441672</v>
      </c>
      <c r="AA4">
        <f t="shared" si="10"/>
        <v>2.1033912106441672</v>
      </c>
    </row>
    <row r="5" spans="1:27" x14ac:dyDescent="0.3">
      <c r="A5">
        <v>0.69230800000000003</v>
      </c>
      <c r="B5">
        <v>1.1568621176470599</v>
      </c>
      <c r="C5">
        <v>0.55052800000000002</v>
      </c>
      <c r="D5">
        <v>1.1652941176470599</v>
      </c>
      <c r="E5">
        <v>0.69823529411764695</v>
      </c>
      <c r="F5">
        <v>-3.4217647058823499</v>
      </c>
      <c r="G5">
        <v>1.3212323529411801E-3</v>
      </c>
      <c r="H5">
        <v>-1.03113667058824E-2</v>
      </c>
      <c r="I5">
        <v>-1.5222964705882401E-3</v>
      </c>
      <c r="J5">
        <v>141.35294117647101</v>
      </c>
      <c r="K5">
        <v>-306.52941176470603</v>
      </c>
      <c r="L5">
        <v>162</v>
      </c>
      <c r="M5">
        <v>2670</v>
      </c>
      <c r="N5">
        <v>-5662</v>
      </c>
      <c r="O5">
        <v>2875</v>
      </c>
      <c r="P5">
        <v>1</v>
      </c>
      <c r="Q5">
        <f t="shared" si="0"/>
        <v>42.939155920855214</v>
      </c>
      <c r="R5">
        <f t="shared" si="1"/>
        <v>0.21863236234623853</v>
      </c>
      <c r="S5">
        <f t="shared" si="2"/>
        <v>17.28</v>
      </c>
      <c r="T5">
        <f t="shared" si="3"/>
        <v>5.2576056978083738E-3</v>
      </c>
      <c r="U5">
        <f t="shared" si="4"/>
        <v>-0.75560676612552857</v>
      </c>
      <c r="V5">
        <f t="shared" si="5"/>
        <v>0.18350933333333333</v>
      </c>
      <c r="W5">
        <f t="shared" si="6"/>
        <v>-0.56683982709438685</v>
      </c>
      <c r="X5">
        <f t="shared" si="7"/>
        <v>-0.28934675038354174</v>
      </c>
      <c r="Y5">
        <f t="shared" si="8"/>
        <v>94.164147872587776</v>
      </c>
      <c r="Z5">
        <f t="shared" si="9"/>
        <v>-18.64627070311964</v>
      </c>
      <c r="AA5">
        <f t="shared" si="10"/>
        <v>-18.64627070311964</v>
      </c>
    </row>
    <row r="6" spans="1:27" x14ac:dyDescent="0.3">
      <c r="A6">
        <v>0.52941182352941196</v>
      </c>
      <c r="B6">
        <v>1.0241334705882399</v>
      </c>
      <c r="C6">
        <v>0.45399682352941201</v>
      </c>
      <c r="D6">
        <v>0.80823529411764705</v>
      </c>
      <c r="E6">
        <v>9.0000000000000094E-2</v>
      </c>
      <c r="F6">
        <v>-1.44941176470588</v>
      </c>
      <c r="G6">
        <v>6.2184091176470599E-3</v>
      </c>
      <c r="H6">
        <v>-1.09863263529412E-2</v>
      </c>
      <c r="I6">
        <v>-6.2471029411764701E-3</v>
      </c>
      <c r="J6">
        <v>155.64705882352899</v>
      </c>
      <c r="K6">
        <v>-314.47058823529397</v>
      </c>
      <c r="L6">
        <v>169.941176470588</v>
      </c>
      <c r="M6">
        <v>2841</v>
      </c>
      <c r="N6">
        <v>-5824</v>
      </c>
      <c r="O6">
        <v>2967</v>
      </c>
      <c r="P6">
        <v>1</v>
      </c>
      <c r="Q6">
        <f t="shared" si="0"/>
        <v>47.281317755548173</v>
      </c>
      <c r="R6">
        <f t="shared" si="1"/>
        <v>0.22429641318422375</v>
      </c>
      <c r="S6">
        <f t="shared" si="2"/>
        <v>18.127058823529389</v>
      </c>
      <c r="T6">
        <f t="shared" si="3"/>
        <v>4.0205206640329984E-3</v>
      </c>
      <c r="U6">
        <f t="shared" si="4"/>
        <v>-0.66891478940118676</v>
      </c>
      <c r="V6">
        <f t="shared" si="5"/>
        <v>0.15133227450980399</v>
      </c>
      <c r="W6">
        <f t="shared" si="6"/>
        <v>-0.51356199422734972</v>
      </c>
      <c r="X6">
        <f t="shared" si="7"/>
        <v>-0.33531387964229964</v>
      </c>
      <c r="Y6">
        <f t="shared" si="8"/>
        <v>119.78316510636358</v>
      </c>
      <c r="Z6">
        <f t="shared" si="9"/>
        <v>-9.5776777914745512</v>
      </c>
      <c r="AA6">
        <f t="shared" si="10"/>
        <v>-9.5776777914745512</v>
      </c>
    </row>
    <row r="7" spans="1:27" x14ac:dyDescent="0.3">
      <c r="A7">
        <v>0.60181017647058799</v>
      </c>
      <c r="B7">
        <v>1.069383</v>
      </c>
      <c r="C7">
        <v>0.56561105882352902</v>
      </c>
      <c r="D7">
        <v>0.30352941176470599</v>
      </c>
      <c r="E7">
        <v>0.94411764705882395</v>
      </c>
      <c r="F7">
        <v>-2.3670588235294101</v>
      </c>
      <c r="G7">
        <v>3.7340464705882197E-4</v>
      </c>
      <c r="H7">
        <v>-1.03831582352941E-2</v>
      </c>
      <c r="I7">
        <v>-4.6961154117647098E-3</v>
      </c>
      <c r="J7">
        <v>142.941176470588</v>
      </c>
      <c r="K7">
        <v>-314.47058823529397</v>
      </c>
      <c r="L7">
        <v>149.29411764705901</v>
      </c>
      <c r="M7">
        <v>2827</v>
      </c>
      <c r="N7">
        <v>-5910</v>
      </c>
      <c r="O7">
        <v>2910</v>
      </c>
      <c r="P7">
        <v>1</v>
      </c>
      <c r="Q7">
        <f t="shared" si="0"/>
        <v>43.421618346932043</v>
      </c>
      <c r="R7">
        <f t="shared" si="1"/>
        <v>0.22429641318422375</v>
      </c>
      <c r="S7">
        <f t="shared" si="2"/>
        <v>15.924705882352962</v>
      </c>
      <c r="T7">
        <f t="shared" si="3"/>
        <v>4.5703366316882455E-3</v>
      </c>
      <c r="U7">
        <f t="shared" si="4"/>
        <v>-0.69846960848115003</v>
      </c>
      <c r="V7">
        <f t="shared" si="5"/>
        <v>0.188537019607843</v>
      </c>
      <c r="W7">
        <f t="shared" si="6"/>
        <v>-0.50536225224161879</v>
      </c>
      <c r="X7">
        <f t="shared" si="7"/>
        <v>-0.32112551564264225</v>
      </c>
      <c r="Y7">
        <f t="shared" si="8"/>
        <v>84.464610268457363</v>
      </c>
      <c r="Z7">
        <f t="shared" si="9"/>
        <v>-12.554875580683795</v>
      </c>
      <c r="AA7">
        <f t="shared" si="10"/>
        <v>-12.554875580683795</v>
      </c>
    </row>
    <row r="8" spans="1:27" x14ac:dyDescent="0.3">
      <c r="A8">
        <v>0.37707382941176498</v>
      </c>
      <c r="B8">
        <v>0.92910964705882404</v>
      </c>
      <c r="C8">
        <v>1.03016611764706</v>
      </c>
      <c r="D8">
        <v>-0.35529411764705898</v>
      </c>
      <c r="E8">
        <v>-4.23529411764706E-2</v>
      </c>
      <c r="F8">
        <v>-4.01823529411765</v>
      </c>
      <c r="G8">
        <v>3.3662664764705898E-2</v>
      </c>
      <c r="H8">
        <v>-2.09675529411765E-3</v>
      </c>
      <c r="I8">
        <v>2.9383037000000001E-2</v>
      </c>
      <c r="J8">
        <v>-108</v>
      </c>
      <c r="K8">
        <v>-319.23529411764702</v>
      </c>
      <c r="L8">
        <v>446.29411764705901</v>
      </c>
      <c r="M8">
        <v>-1982</v>
      </c>
      <c r="N8">
        <v>-5735</v>
      </c>
      <c r="O8">
        <v>8079</v>
      </c>
      <c r="P8">
        <v>1</v>
      </c>
      <c r="Q8">
        <f t="shared" si="0"/>
        <v>-32.807444973237594</v>
      </c>
      <c r="R8">
        <f t="shared" si="1"/>
        <v>0.22769484368701509</v>
      </c>
      <c r="S8">
        <f t="shared" si="2"/>
        <v>47.60470588235296</v>
      </c>
      <c r="T8">
        <f t="shared" si="3"/>
        <v>2.8636178030727916E-3</v>
      </c>
      <c r="U8">
        <f t="shared" si="4"/>
        <v>-0.60684979227950731</v>
      </c>
      <c r="V8">
        <f t="shared" si="5"/>
        <v>0.34338870588235332</v>
      </c>
      <c r="W8">
        <f t="shared" si="6"/>
        <v>-0.26059746859408123</v>
      </c>
      <c r="X8">
        <f t="shared" si="7"/>
        <v>-0.37520791237601964</v>
      </c>
      <c r="Y8">
        <f t="shared" si="8"/>
        <v>138.63212466475986</v>
      </c>
      <c r="Z8">
        <f t="shared" si="9"/>
        <v>-11.701710700684249</v>
      </c>
      <c r="AA8">
        <f t="shared" si="10"/>
        <v>-11.701710700684249</v>
      </c>
    </row>
    <row r="9" spans="1:27" x14ac:dyDescent="0.3">
      <c r="A9">
        <v>0.276017882352941</v>
      </c>
      <c r="B9">
        <v>0.72850694117647097</v>
      </c>
      <c r="C9">
        <v>0.83107105882352905</v>
      </c>
      <c r="D9">
        <v>0.96882352941176497</v>
      </c>
      <c r="E9">
        <v>0.72294117647058798</v>
      </c>
      <c r="F9">
        <v>-3.2158823588235301</v>
      </c>
      <c r="G9">
        <v>1.79514823529412E-3</v>
      </c>
      <c r="H9">
        <v>-1.33128876470588E-2</v>
      </c>
      <c r="I9">
        <v>-1.23793764705882E-2</v>
      </c>
      <c r="J9">
        <v>-111.17647058823501</v>
      </c>
      <c r="K9">
        <v>-333.52941176470603</v>
      </c>
      <c r="L9">
        <v>462.17647058823502</v>
      </c>
      <c r="M9">
        <v>-2067</v>
      </c>
      <c r="N9">
        <v>-5892</v>
      </c>
      <c r="O9">
        <v>8250</v>
      </c>
      <c r="P9">
        <v>1</v>
      </c>
      <c r="Q9">
        <f t="shared" si="0"/>
        <v>-33.77236982539155</v>
      </c>
      <c r="R9">
        <f t="shared" si="1"/>
        <v>0.23789013519538907</v>
      </c>
      <c r="S9">
        <f t="shared" si="2"/>
        <v>49.298823529411735</v>
      </c>
      <c r="T9">
        <f t="shared" si="3"/>
        <v>2.0961670108619627E-3</v>
      </c>
      <c r="U9">
        <f t="shared" si="4"/>
        <v>-0.47582574061802918</v>
      </c>
      <c r="V9">
        <f t="shared" si="5"/>
        <v>0.27702368627450968</v>
      </c>
      <c r="W9">
        <f t="shared" si="6"/>
        <v>-0.19670588733265754</v>
      </c>
      <c r="X9">
        <f t="shared" si="7"/>
        <v>-0.49995221966429138</v>
      </c>
      <c r="Y9">
        <f t="shared" si="8"/>
        <v>177.95887489765153</v>
      </c>
      <c r="Z9">
        <f t="shared" si="9"/>
        <v>-11.60869094650929</v>
      </c>
      <c r="AA9">
        <f t="shared" si="10"/>
        <v>-11.60869094650929</v>
      </c>
    </row>
    <row r="10" spans="1:27" x14ac:dyDescent="0.3">
      <c r="A10">
        <v>0.34238282352941202</v>
      </c>
      <c r="B10">
        <v>0.81297152941176498</v>
      </c>
      <c r="C10">
        <v>0.91553594117647097</v>
      </c>
      <c r="D10">
        <v>0.66235294117647103</v>
      </c>
      <c r="E10">
        <v>0.63764705882353001</v>
      </c>
      <c r="F10">
        <v>-4.2511764705882404</v>
      </c>
      <c r="G10">
        <v>7.3960358823529403E-3</v>
      </c>
      <c r="H10">
        <v>-1.19198090588235E-2</v>
      </c>
      <c r="I10">
        <v>1.02682994117647E-2</v>
      </c>
      <c r="J10">
        <v>-108</v>
      </c>
      <c r="K10">
        <v>-328.76470588235298</v>
      </c>
      <c r="L10">
        <v>454.23529411764702</v>
      </c>
      <c r="M10">
        <v>-2068</v>
      </c>
      <c r="N10">
        <v>-6160</v>
      </c>
      <c r="O10">
        <v>8464</v>
      </c>
      <c r="P10">
        <v>1</v>
      </c>
      <c r="Q10">
        <f t="shared" si="0"/>
        <v>-32.807444973237594</v>
      </c>
      <c r="R10">
        <f t="shared" si="1"/>
        <v>0.23449170469259772</v>
      </c>
      <c r="S10">
        <f t="shared" si="2"/>
        <v>48.451764705882347</v>
      </c>
      <c r="T10">
        <f t="shared" si="3"/>
        <v>2.6001633432228941E-3</v>
      </c>
      <c r="U10">
        <f t="shared" si="4"/>
        <v>-0.53099395245160741</v>
      </c>
      <c r="V10">
        <f t="shared" si="5"/>
        <v>0.30517864705882364</v>
      </c>
      <c r="W10">
        <f t="shared" si="6"/>
        <v>-0.22321514204956089</v>
      </c>
      <c r="X10">
        <f t="shared" si="7"/>
        <v>-0.44160899311554463</v>
      </c>
      <c r="Y10">
        <f t="shared" si="8"/>
        <v>158.76525167418805</v>
      </c>
      <c r="Z10">
        <f t="shared" si="9"/>
        <v>-13.930124245451616</v>
      </c>
      <c r="AA10">
        <f t="shared" si="10"/>
        <v>-13.930124245451616</v>
      </c>
    </row>
    <row r="11" spans="1:27" x14ac:dyDescent="0.3">
      <c r="A11">
        <v>0.37278076923076903</v>
      </c>
      <c r="B11">
        <v>0.46745553846153898</v>
      </c>
      <c r="C11">
        <v>0.33925015384615398</v>
      </c>
      <c r="D11">
        <v>1.0592307692307701</v>
      </c>
      <c r="E11">
        <v>-0.34076923076923099</v>
      </c>
      <c r="F11">
        <v>16.91</v>
      </c>
      <c r="G11">
        <v>1.35592130769231E-2</v>
      </c>
      <c r="H11">
        <v>-1.5249412307692301E-2</v>
      </c>
      <c r="I11">
        <v>9.0144336153846101E-3</v>
      </c>
      <c r="J11">
        <v>155.769230769231</v>
      </c>
      <c r="K11">
        <v>162</v>
      </c>
      <c r="L11">
        <v>164.07692307692301</v>
      </c>
      <c r="M11">
        <v>3094</v>
      </c>
      <c r="N11">
        <v>3004</v>
      </c>
      <c r="O11">
        <v>3136</v>
      </c>
      <c r="P11">
        <v>1</v>
      </c>
      <c r="Q11">
        <f t="shared" si="0"/>
        <v>47.318430249861983</v>
      </c>
      <c r="R11">
        <f t="shared" si="1"/>
        <v>-0.1155466370949032</v>
      </c>
      <c r="S11">
        <f t="shared" si="2"/>
        <v>17.501538461538452</v>
      </c>
      <c r="T11">
        <f t="shared" si="3"/>
        <v>2.8310149475971381E-3</v>
      </c>
      <c r="U11">
        <f t="shared" si="4"/>
        <v>-0.30531950379945849</v>
      </c>
      <c r="V11">
        <f t="shared" si="5"/>
        <v>0.11308338461538466</v>
      </c>
      <c r="W11">
        <f t="shared" si="6"/>
        <v>-0.18940510423647672</v>
      </c>
      <c r="X11">
        <f t="shared" si="7"/>
        <v>0.37844499174476953</v>
      </c>
      <c r="Y11">
        <f t="shared" si="8"/>
        <v>154.76666639457324</v>
      </c>
      <c r="Z11">
        <f t="shared" si="9"/>
        <v>149.53567279148669</v>
      </c>
      <c r="AA11">
        <f t="shared" si="10"/>
        <v>149.53567279148669</v>
      </c>
    </row>
    <row r="12" spans="1:27" x14ac:dyDescent="0.3">
      <c r="A12">
        <v>0.36291892307692297</v>
      </c>
      <c r="B12">
        <v>0.47534507692307698</v>
      </c>
      <c r="C12">
        <v>0.32938823076923102</v>
      </c>
      <c r="D12">
        <v>1.2307692307692301E-2</v>
      </c>
      <c r="E12">
        <v>-1.72846153846154</v>
      </c>
      <c r="F12">
        <v>17.074615384615399</v>
      </c>
      <c r="G12">
        <v>-4.5447853846153899E-3</v>
      </c>
      <c r="H12">
        <v>-3.07992615384615E-3</v>
      </c>
      <c r="I12">
        <v>1.6150842307692301E-2</v>
      </c>
      <c r="J12">
        <v>166.15384615384599</v>
      </c>
      <c r="K12">
        <v>155.769230769231</v>
      </c>
      <c r="L12">
        <v>162</v>
      </c>
      <c r="M12">
        <v>2833</v>
      </c>
      <c r="N12">
        <v>2703</v>
      </c>
      <c r="O12">
        <v>2881</v>
      </c>
      <c r="P12">
        <v>1</v>
      </c>
      <c r="Q12">
        <f t="shared" si="0"/>
        <v>50.472992266519327</v>
      </c>
      <c r="R12">
        <f t="shared" si="1"/>
        <v>-0.11110253566817632</v>
      </c>
      <c r="S12">
        <f t="shared" si="2"/>
        <v>17.28</v>
      </c>
      <c r="T12">
        <f t="shared" si="3"/>
        <v>2.7561209718964808E-3</v>
      </c>
      <c r="U12">
        <f t="shared" si="4"/>
        <v>-0.3104725713536719</v>
      </c>
      <c r="V12">
        <f t="shared" si="5"/>
        <v>0.10979607692307701</v>
      </c>
      <c r="W12">
        <f t="shared" si="6"/>
        <v>-0.1979203734586984</v>
      </c>
      <c r="X12">
        <f t="shared" si="7"/>
        <v>0.35784976168350446</v>
      </c>
      <c r="Y12">
        <f t="shared" si="8"/>
        <v>157.38267235273213</v>
      </c>
      <c r="Z12">
        <f t="shared" si="9"/>
        <v>155.51207167973635</v>
      </c>
      <c r="AA12">
        <f t="shared" si="10"/>
        <v>155.51207167973635</v>
      </c>
    </row>
    <row r="13" spans="1:27" x14ac:dyDescent="0.3">
      <c r="A13">
        <v>0.42209038461538501</v>
      </c>
      <c r="B13">
        <v>0.33333307692307701</v>
      </c>
      <c r="C13">
        <v>0.357001615384615</v>
      </c>
      <c r="D13">
        <v>9.8276923076923097</v>
      </c>
      <c r="E13">
        <v>1.6253846153846201</v>
      </c>
      <c r="F13">
        <v>15.7</v>
      </c>
      <c r="G13">
        <v>3.9344200000000001E-3</v>
      </c>
      <c r="H13">
        <v>-8.7139361538461496E-3</v>
      </c>
      <c r="I13">
        <v>4.5710636923076899E-2</v>
      </c>
      <c r="J13">
        <v>164.07692307692301</v>
      </c>
      <c r="K13">
        <v>174.461538461538</v>
      </c>
      <c r="L13">
        <v>172.38461538461499</v>
      </c>
      <c r="M13">
        <v>2814</v>
      </c>
      <c r="N13">
        <v>2947</v>
      </c>
      <c r="O13">
        <v>2839</v>
      </c>
      <c r="P13">
        <v>1</v>
      </c>
      <c r="Q13">
        <f t="shared" si="0"/>
        <v>49.842079863187863</v>
      </c>
      <c r="R13">
        <f t="shared" si="1"/>
        <v>-0.12443483994835697</v>
      </c>
      <c r="S13">
        <f t="shared" si="2"/>
        <v>18.387692307692266</v>
      </c>
      <c r="T13">
        <f t="shared" si="3"/>
        <v>3.2054877469911889E-3</v>
      </c>
      <c r="U13">
        <f t="shared" si="4"/>
        <v>-0.21771715440798917</v>
      </c>
      <c r="V13">
        <f t="shared" si="5"/>
        <v>0.11900053846153834</v>
      </c>
      <c r="W13">
        <f t="shared" si="6"/>
        <v>-9.551112819945963E-2</v>
      </c>
      <c r="X13">
        <f t="shared" si="7"/>
        <v>0.57154357122991506</v>
      </c>
      <c r="Y13">
        <f t="shared" si="8"/>
        <v>154.51772357849686</v>
      </c>
      <c r="Z13">
        <f t="shared" si="9"/>
        <v>131.93217613107129</v>
      </c>
      <c r="AA13">
        <f t="shared" si="10"/>
        <v>131.93217613107129</v>
      </c>
    </row>
    <row r="14" spans="1:27" x14ac:dyDescent="0.3">
      <c r="A14">
        <v>0.43076893333333299</v>
      </c>
      <c r="B14">
        <v>0.39658100000000002</v>
      </c>
      <c r="C14">
        <v>0.35555520000000002</v>
      </c>
      <c r="D14">
        <v>0.29466666666666702</v>
      </c>
      <c r="E14">
        <v>-1.7786666666666699</v>
      </c>
      <c r="F14">
        <v>36.703333333333298</v>
      </c>
      <c r="G14">
        <v>-2.5260407799999999E-2</v>
      </c>
      <c r="H14">
        <v>5.5989046666666698E-3</v>
      </c>
      <c r="I14">
        <v>2.0800782666666701E-2</v>
      </c>
      <c r="J14">
        <v>342</v>
      </c>
      <c r="K14">
        <v>343.8</v>
      </c>
      <c r="L14">
        <v>356.4</v>
      </c>
      <c r="M14">
        <v>5590</v>
      </c>
      <c r="N14">
        <v>5618</v>
      </c>
      <c r="O14">
        <v>5639</v>
      </c>
      <c r="P14">
        <v>1</v>
      </c>
      <c r="Q14">
        <f t="shared" si="0"/>
        <v>103.89024241525237</v>
      </c>
      <c r="R14">
        <f t="shared" si="1"/>
        <v>-0.24521564094585013</v>
      </c>
      <c r="S14">
        <f t="shared" si="2"/>
        <v>38.015999999999998</v>
      </c>
      <c r="T14">
        <f t="shared" si="3"/>
        <v>3.271395388081846E-3</v>
      </c>
      <c r="U14">
        <f t="shared" si="4"/>
        <v>-0.25902765968887009</v>
      </c>
      <c r="V14">
        <f t="shared" si="5"/>
        <v>0.11851840000000001</v>
      </c>
      <c r="W14">
        <f t="shared" si="6"/>
        <v>-0.13723786430078821</v>
      </c>
      <c r="X14">
        <f t="shared" si="7"/>
        <v>0.94667743684357797</v>
      </c>
      <c r="Y14">
        <f t="shared" si="8"/>
        <v>320.76032076032072</v>
      </c>
      <c r="Z14">
        <f t="shared" si="9"/>
        <v>309.68468468468438</v>
      </c>
      <c r="AA14">
        <f t="shared" si="10"/>
        <v>309.68468468468438</v>
      </c>
    </row>
    <row r="15" spans="1:27" x14ac:dyDescent="0.3">
      <c r="A15">
        <v>0.43931599999999998</v>
      </c>
      <c r="B15">
        <v>0.43247846666666701</v>
      </c>
      <c r="C15">
        <v>0.31623920666666699</v>
      </c>
      <c r="D15">
        <v>-0.233333333333333</v>
      </c>
      <c r="E15">
        <v>-0.88400000000000001</v>
      </c>
      <c r="F15">
        <v>33.376666666666701</v>
      </c>
      <c r="G15">
        <v>3.7760445999999999E-3</v>
      </c>
      <c r="H15">
        <v>7.4870020000000097E-4</v>
      </c>
      <c r="I15">
        <v>9.1471328000000008E-3</v>
      </c>
      <c r="J15">
        <v>343.8</v>
      </c>
      <c r="K15">
        <v>351</v>
      </c>
      <c r="L15">
        <v>365.4</v>
      </c>
      <c r="M15">
        <v>5846</v>
      </c>
      <c r="N15">
        <v>5943</v>
      </c>
      <c r="O15">
        <v>5995</v>
      </c>
      <c r="P15">
        <v>1</v>
      </c>
      <c r="Q15">
        <f t="shared" si="0"/>
        <v>104.43703316480635</v>
      </c>
      <c r="R15">
        <f t="shared" si="1"/>
        <v>-0.25035104703895694</v>
      </c>
      <c r="S15">
        <f t="shared" si="2"/>
        <v>38.975999999999999</v>
      </c>
      <c r="T15">
        <f t="shared" si="3"/>
        <v>3.3363045129312144E-3</v>
      </c>
      <c r="U15">
        <f t="shared" si="4"/>
        <v>-0.28247416060400715</v>
      </c>
      <c r="V15">
        <f t="shared" si="5"/>
        <v>0.105413068888889</v>
      </c>
      <c r="W15">
        <f t="shared" si="6"/>
        <v>-0.17372478720218693</v>
      </c>
      <c r="X15">
        <f t="shared" si="7"/>
        <v>0.88627946182276574</v>
      </c>
      <c r="Y15">
        <f t="shared" si="8"/>
        <v>369.74542540909022</v>
      </c>
      <c r="Z15">
        <f t="shared" si="9"/>
        <v>316.62740700441503</v>
      </c>
      <c r="AA15">
        <f t="shared" si="10"/>
        <v>316.62740700441503</v>
      </c>
    </row>
    <row r="16" spans="1:27" x14ac:dyDescent="0.3">
      <c r="A16">
        <v>0.38632460000000002</v>
      </c>
      <c r="B16">
        <v>0.382905733333333</v>
      </c>
      <c r="C16">
        <v>0.384615066666667</v>
      </c>
      <c r="D16">
        <v>-0.148666666666667</v>
      </c>
      <c r="E16">
        <v>-1.6759999999999999</v>
      </c>
      <c r="F16">
        <v>38.144666666666701</v>
      </c>
      <c r="G16">
        <v>-9.4563784666666702E-3</v>
      </c>
      <c r="H16">
        <v>4.0364600000000004E-3</v>
      </c>
      <c r="I16" s="1">
        <v>5.9999999991548298E-9</v>
      </c>
      <c r="J16">
        <v>342</v>
      </c>
      <c r="K16">
        <v>358.2</v>
      </c>
      <c r="L16">
        <v>351</v>
      </c>
      <c r="M16">
        <v>5890</v>
      </c>
      <c r="N16">
        <v>5902</v>
      </c>
      <c r="O16">
        <v>5881</v>
      </c>
      <c r="P16">
        <v>1</v>
      </c>
      <c r="Q16">
        <f t="shared" si="0"/>
        <v>103.89024241525237</v>
      </c>
      <c r="R16">
        <f t="shared" si="1"/>
        <v>-0.25548645313206375</v>
      </c>
      <c r="S16">
        <f t="shared" si="2"/>
        <v>37.44</v>
      </c>
      <c r="T16">
        <f t="shared" si="3"/>
        <v>2.9338710778490798E-3</v>
      </c>
      <c r="U16">
        <f t="shared" si="4"/>
        <v>-0.25009563238476834</v>
      </c>
      <c r="V16">
        <f t="shared" si="5"/>
        <v>0.12820502222222233</v>
      </c>
      <c r="W16">
        <f t="shared" si="6"/>
        <v>-0.11895673908469692</v>
      </c>
      <c r="X16">
        <f t="shared" si="7"/>
        <v>1.0215550375506026</v>
      </c>
      <c r="Y16">
        <f t="shared" si="8"/>
        <v>292.0322414133193</v>
      </c>
      <c r="Z16">
        <f t="shared" si="9"/>
        <v>297.52864595701402</v>
      </c>
      <c r="AA16">
        <f t="shared" si="10"/>
        <v>297.52864595701402</v>
      </c>
    </row>
    <row r="17" spans="1:27" x14ac:dyDescent="0.3">
      <c r="A17">
        <v>0.42948674999999997</v>
      </c>
      <c r="B17">
        <v>0.50961500000000004</v>
      </c>
      <c r="C17">
        <v>0.41025626250000002</v>
      </c>
      <c r="D17">
        <v>0.13250000000000001</v>
      </c>
      <c r="E17">
        <v>-3.7124999999999999</v>
      </c>
      <c r="F17">
        <v>76.580624999999998</v>
      </c>
      <c r="G17">
        <v>1.15203875E-2</v>
      </c>
      <c r="H17">
        <v>-4.8736548749999997E-2</v>
      </c>
      <c r="I17">
        <v>4.1031012499999998E-2</v>
      </c>
      <c r="J17">
        <v>742.5</v>
      </c>
      <c r="K17">
        <v>756</v>
      </c>
      <c r="L17">
        <v>762.75</v>
      </c>
      <c r="M17">
        <v>12971</v>
      </c>
      <c r="N17">
        <v>12936</v>
      </c>
      <c r="O17">
        <v>13062</v>
      </c>
      <c r="P17">
        <v>1</v>
      </c>
      <c r="Q17">
        <f t="shared" si="0"/>
        <v>225.55118419100847</v>
      </c>
      <c r="R17">
        <f t="shared" si="1"/>
        <v>-0.53921763977621495</v>
      </c>
      <c r="S17">
        <f t="shared" si="2"/>
        <v>81.36</v>
      </c>
      <c r="T17">
        <f t="shared" si="3"/>
        <v>3.2616580827221414E-3</v>
      </c>
      <c r="U17">
        <f t="shared" si="4"/>
        <v>-0.33285603897398902</v>
      </c>
      <c r="V17">
        <f t="shared" si="5"/>
        <v>0.13675208750000001</v>
      </c>
      <c r="W17">
        <f t="shared" si="6"/>
        <v>-0.19284229339126685</v>
      </c>
      <c r="X17">
        <f t="shared" si="7"/>
        <v>1.6199725305820636</v>
      </c>
      <c r="Y17">
        <f t="shared" si="8"/>
        <v>594.9452142732373</v>
      </c>
      <c r="Z17">
        <f t="shared" si="9"/>
        <v>559.99602199856724</v>
      </c>
      <c r="AA17">
        <f t="shared" si="10"/>
        <v>559.99602199856724</v>
      </c>
    </row>
    <row r="18" spans="1:27" x14ac:dyDescent="0.3">
      <c r="A18">
        <v>0.40384606249999999</v>
      </c>
      <c r="B18">
        <v>0.50160262499999997</v>
      </c>
      <c r="C18">
        <v>0.26762793750000002</v>
      </c>
      <c r="D18">
        <v>-0.5625</v>
      </c>
      <c r="E18">
        <v>-5.1687500000000002</v>
      </c>
      <c r="F18">
        <v>74.347499999999997</v>
      </c>
      <c r="G18">
        <v>-4.7424246687499998E-2</v>
      </c>
      <c r="H18">
        <v>-3.7780710000000002E-2</v>
      </c>
      <c r="I18">
        <v>-7.1670650000000002E-2</v>
      </c>
      <c r="J18">
        <v>750.9375</v>
      </c>
      <c r="K18">
        <v>747.5625</v>
      </c>
      <c r="L18">
        <v>761.0625</v>
      </c>
      <c r="M18">
        <v>14067</v>
      </c>
      <c r="N18">
        <v>13953</v>
      </c>
      <c r="O18">
        <v>14157</v>
      </c>
      <c r="P18">
        <v>1</v>
      </c>
      <c r="Q18">
        <f t="shared" si="0"/>
        <v>228.11426582954266</v>
      </c>
      <c r="R18">
        <f t="shared" si="1"/>
        <v>-0.53319958576085535</v>
      </c>
      <c r="S18">
        <f t="shared" si="2"/>
        <v>81.180000000000007</v>
      </c>
      <c r="T18">
        <f t="shared" si="3"/>
        <v>3.0669346002609767E-3</v>
      </c>
      <c r="U18">
        <f t="shared" si="4"/>
        <v>-0.32762274049322565</v>
      </c>
      <c r="V18">
        <f t="shared" si="5"/>
        <v>8.9209312500000013E-2</v>
      </c>
      <c r="W18">
        <f t="shared" si="6"/>
        <v>-0.23534649339296465</v>
      </c>
      <c r="X18">
        <f t="shared" si="7"/>
        <v>1.6274803908853832</v>
      </c>
      <c r="Y18">
        <f t="shared" si="8"/>
        <v>909.9946824497722</v>
      </c>
      <c r="Z18">
        <f t="shared" si="9"/>
        <v>833.40514478239015</v>
      </c>
      <c r="AA18">
        <f t="shared" si="10"/>
        <v>833.40514478239015</v>
      </c>
    </row>
    <row r="19" spans="1:27" x14ac:dyDescent="0.3">
      <c r="A19">
        <v>0.42467931250000002</v>
      </c>
      <c r="B19">
        <v>0.51442306250000003</v>
      </c>
      <c r="C19">
        <v>0.38461525000000002</v>
      </c>
      <c r="D19">
        <v>-0.79874999999999996</v>
      </c>
      <c r="E19">
        <v>-4.9343750000000002</v>
      </c>
      <c r="F19">
        <v>74.784999999999997</v>
      </c>
      <c r="G19">
        <v>-2.4566062499999999E-3</v>
      </c>
      <c r="H19">
        <v>1.0650700000000001E-2</v>
      </c>
      <c r="I19">
        <v>1.5777528749999999E-2</v>
      </c>
      <c r="J19">
        <v>756</v>
      </c>
      <c r="K19">
        <v>756</v>
      </c>
      <c r="L19">
        <v>754.3125</v>
      </c>
      <c r="M19">
        <v>13164</v>
      </c>
      <c r="N19">
        <v>13084</v>
      </c>
      <c r="O19">
        <v>13251</v>
      </c>
      <c r="P19">
        <v>1</v>
      </c>
      <c r="Q19">
        <f t="shared" si="0"/>
        <v>229.65211481266317</v>
      </c>
      <c r="R19">
        <f t="shared" si="1"/>
        <v>-0.53921763977621495</v>
      </c>
      <c r="S19">
        <f t="shared" si="2"/>
        <v>80.459999999999994</v>
      </c>
      <c r="T19">
        <f t="shared" si="3"/>
        <v>3.2251488833602137E-3</v>
      </c>
      <c r="U19">
        <f t="shared" si="4"/>
        <v>-0.33599643444682514</v>
      </c>
      <c r="V19">
        <f t="shared" si="5"/>
        <v>0.12820508333333333</v>
      </c>
      <c r="W19">
        <f t="shared" si="6"/>
        <v>-0.20456620223013158</v>
      </c>
      <c r="X19">
        <f t="shared" si="7"/>
        <v>1.6048314341905663</v>
      </c>
      <c r="Y19">
        <f t="shared" si="8"/>
        <v>627.58821965587686</v>
      </c>
      <c r="Z19">
        <f t="shared" si="9"/>
        <v>583.32320416312143</v>
      </c>
      <c r="AA19">
        <f t="shared" si="10"/>
        <v>583.32320416312143</v>
      </c>
    </row>
    <row r="20" spans="1:27" x14ac:dyDescent="0.3">
      <c r="A20">
        <v>0.49914520000000001</v>
      </c>
      <c r="B20">
        <v>2.90598E-2</v>
      </c>
      <c r="C20">
        <v>0.35213646666666698</v>
      </c>
      <c r="D20">
        <v>-6.6666665999999999E-2</v>
      </c>
      <c r="E20">
        <v>-0.33400000000000002</v>
      </c>
      <c r="F20">
        <v>1.7066666666666701</v>
      </c>
      <c r="G20">
        <v>2.65299526666667E-2</v>
      </c>
      <c r="H20">
        <v>-5.5664315333333299E-3</v>
      </c>
      <c r="I20">
        <v>1.2011711200000001E-2</v>
      </c>
      <c r="J20">
        <v>-289.8</v>
      </c>
      <c r="K20">
        <v>0</v>
      </c>
      <c r="L20">
        <v>302.39999999999998</v>
      </c>
      <c r="M20">
        <v>-4683</v>
      </c>
      <c r="N20">
        <v>11</v>
      </c>
      <c r="O20">
        <v>4811</v>
      </c>
      <c r="P20">
        <v>2</v>
      </c>
      <c r="Q20">
        <f t="shared" si="0"/>
        <v>-88.033310678187547</v>
      </c>
      <c r="R20">
        <f t="shared" si="1"/>
        <v>0</v>
      </c>
      <c r="S20">
        <f t="shared" si="2"/>
        <v>32.256</v>
      </c>
      <c r="T20">
        <f t="shared" si="3"/>
        <v>3.7906663617258505E-3</v>
      </c>
      <c r="U20">
        <f t="shared" si="4"/>
        <v>-1.8980465491353914E-2</v>
      </c>
      <c r="V20">
        <f t="shared" si="5"/>
        <v>0.11737882222222233</v>
      </c>
      <c r="W20">
        <f t="shared" si="6"/>
        <v>0.10218902309259427</v>
      </c>
      <c r="X20">
        <f t="shared" si="7"/>
        <v>0</v>
      </c>
      <c r="Y20">
        <f t="shared" si="8"/>
        <v>274.80255287391395</v>
      </c>
      <c r="Z20">
        <f t="shared" si="9"/>
        <v>14.53981761237643</v>
      </c>
      <c r="AA20">
        <f t="shared" si="10"/>
        <v>14.53981761237643</v>
      </c>
    </row>
    <row r="21" spans="1:27" x14ac:dyDescent="0.3">
      <c r="A21">
        <v>0.48205113333333299</v>
      </c>
      <c r="B21">
        <v>6.8376066666666702E-3</v>
      </c>
      <c r="C21">
        <v>0.30940140666666699</v>
      </c>
      <c r="D21">
        <v>0.42333333333333301</v>
      </c>
      <c r="E21">
        <v>0.18866666666666701</v>
      </c>
      <c r="F21">
        <v>0.48133332666666701</v>
      </c>
      <c r="G21">
        <v>7.7636853333333299E-3</v>
      </c>
      <c r="H21">
        <v>8.203152E-3</v>
      </c>
      <c r="I21">
        <v>4.9153686E-3</v>
      </c>
      <c r="J21">
        <v>-293.39999999999998</v>
      </c>
      <c r="K21">
        <v>1.8</v>
      </c>
      <c r="L21">
        <v>306</v>
      </c>
      <c r="M21">
        <v>-4915</v>
      </c>
      <c r="N21">
        <v>6</v>
      </c>
      <c r="O21">
        <v>5071</v>
      </c>
      <c r="P21">
        <v>2</v>
      </c>
      <c r="Q21">
        <f t="shared" si="0"/>
        <v>-89.126892177295446</v>
      </c>
      <c r="R21">
        <f t="shared" si="1"/>
        <v>-1.2838515232767023E-3</v>
      </c>
      <c r="S21">
        <f t="shared" si="2"/>
        <v>32.64</v>
      </c>
      <c r="T21">
        <f t="shared" si="3"/>
        <v>3.6608486183148472E-3</v>
      </c>
      <c r="U21">
        <f t="shared" si="4"/>
        <v>-4.4659962346650086E-3</v>
      </c>
      <c r="V21">
        <f t="shared" si="5"/>
        <v>0.10313380222222233</v>
      </c>
      <c r="W21">
        <f t="shared" si="6"/>
        <v>0.10232865460587218</v>
      </c>
      <c r="X21">
        <f t="shared" si="7"/>
        <v>0.28747259420226606</v>
      </c>
      <c r="Y21">
        <f t="shared" si="8"/>
        <v>316.48207761865132</v>
      </c>
      <c r="Z21">
        <f t="shared" si="9"/>
        <v>4.6670763250785461</v>
      </c>
      <c r="AA21">
        <f t="shared" si="10"/>
        <v>4.6670763250785461</v>
      </c>
    </row>
    <row r="22" spans="1:27" x14ac:dyDescent="0.3">
      <c r="A22">
        <v>0.51623946666666698</v>
      </c>
      <c r="B22">
        <v>1.53846E-2</v>
      </c>
      <c r="C22">
        <v>0.36923046666666698</v>
      </c>
      <c r="D22">
        <v>0.66</v>
      </c>
      <c r="E22">
        <v>0.44066666733333298</v>
      </c>
      <c r="F22">
        <v>0.39400000000000002</v>
      </c>
      <c r="G22">
        <v>2.4739648000000002E-3</v>
      </c>
      <c r="H22">
        <v>-5.33853066666667E-3</v>
      </c>
      <c r="I22">
        <v>8.1379320000000001E-4</v>
      </c>
      <c r="J22">
        <v>-288</v>
      </c>
      <c r="K22">
        <v>0</v>
      </c>
      <c r="L22">
        <v>291.60000000000002</v>
      </c>
      <c r="M22">
        <v>-4732</v>
      </c>
      <c r="N22">
        <v>-1</v>
      </c>
      <c r="O22">
        <v>4860</v>
      </c>
      <c r="P22">
        <v>2</v>
      </c>
      <c r="Q22">
        <f t="shared" si="0"/>
        <v>-87.486519928633584</v>
      </c>
      <c r="R22">
        <f t="shared" si="1"/>
        <v>0</v>
      </c>
      <c r="S22">
        <f t="shared" si="2"/>
        <v>31.103999999999999</v>
      </c>
      <c r="T22">
        <f t="shared" si="3"/>
        <v>3.9204856240000465E-3</v>
      </c>
      <c r="U22">
        <f t="shared" si="4"/>
        <v>-1.0048481730716778E-2</v>
      </c>
      <c r="V22">
        <f t="shared" si="5"/>
        <v>0.12307682222222233</v>
      </c>
      <c r="W22">
        <f t="shared" si="6"/>
        <v>0.1169488261155056</v>
      </c>
      <c r="X22">
        <f t="shared" si="7"/>
        <v>0</v>
      </c>
      <c r="Y22">
        <f t="shared" si="8"/>
        <v>252.72020709016948</v>
      </c>
      <c r="Z22">
        <f t="shared" si="9"/>
        <v>3.2012526232486747</v>
      </c>
      <c r="AA22">
        <f t="shared" si="10"/>
        <v>3.2012526232486747</v>
      </c>
    </row>
    <row r="23" spans="1:27" x14ac:dyDescent="0.3">
      <c r="A23">
        <v>0.253204875</v>
      </c>
      <c r="B23">
        <v>0.33493581249999999</v>
      </c>
      <c r="C23">
        <v>0.15224346250000001</v>
      </c>
      <c r="D23">
        <v>1.1375</v>
      </c>
      <c r="E23">
        <v>1.0706249999999999</v>
      </c>
      <c r="F23">
        <v>5.4375E-2</v>
      </c>
      <c r="G23">
        <v>-2.2048950000000001E-2</v>
      </c>
      <c r="H23">
        <v>-4.8934928937499997E-2</v>
      </c>
      <c r="I23">
        <v>-3.5034200000000001E-2</v>
      </c>
      <c r="J23">
        <v>168.75</v>
      </c>
      <c r="K23">
        <v>-357.75</v>
      </c>
      <c r="L23">
        <v>170.4375</v>
      </c>
      <c r="M23">
        <v>2976</v>
      </c>
      <c r="N23">
        <v>-6159</v>
      </c>
      <c r="O23">
        <v>3002</v>
      </c>
      <c r="P23">
        <v>2</v>
      </c>
      <c r="Q23">
        <f t="shared" si="0"/>
        <v>51.261632770683732</v>
      </c>
      <c r="R23">
        <f t="shared" si="1"/>
        <v>0.25516549025124458</v>
      </c>
      <c r="S23">
        <f t="shared" si="2"/>
        <v>18.18</v>
      </c>
      <c r="T23">
        <f t="shared" si="3"/>
        <v>1.9229178248884266E-3</v>
      </c>
      <c r="U23">
        <f t="shared" si="4"/>
        <v>-0.21876398430047128</v>
      </c>
      <c r="V23">
        <f t="shared" si="5"/>
        <v>5.0747820833333339E-2</v>
      </c>
      <c r="W23">
        <f t="shared" si="6"/>
        <v>-0.1660932456422495</v>
      </c>
      <c r="X23">
        <f t="shared" si="7"/>
        <v>-1.1663962469287266</v>
      </c>
      <c r="Y23">
        <f t="shared" si="8"/>
        <v>358.24198362540523</v>
      </c>
      <c r="Z23">
        <f t="shared" si="9"/>
        <v>1.0714745797377012</v>
      </c>
      <c r="AA23">
        <f t="shared" si="10"/>
        <v>1.0714745797377012</v>
      </c>
    </row>
    <row r="24" spans="1:27" x14ac:dyDescent="0.3">
      <c r="A24">
        <v>0.20833313749999999</v>
      </c>
      <c r="B24">
        <v>0.29647412499999998</v>
      </c>
      <c r="C24">
        <v>0.16987165625</v>
      </c>
      <c r="D24">
        <v>-0.1125</v>
      </c>
      <c r="E24">
        <v>-0.429999999375</v>
      </c>
      <c r="F24">
        <v>0.13562498749999999</v>
      </c>
      <c r="G24">
        <v>-8.9721825000000002E-3</v>
      </c>
      <c r="H24">
        <v>-1.1657717499999999E-2</v>
      </c>
      <c r="I24">
        <v>-2.6092486874999998E-3</v>
      </c>
      <c r="J24">
        <v>168.75</v>
      </c>
      <c r="K24">
        <v>-356.0625</v>
      </c>
      <c r="L24">
        <v>170.4375</v>
      </c>
      <c r="M24">
        <v>3002</v>
      </c>
      <c r="N24">
        <v>-6196</v>
      </c>
      <c r="O24">
        <v>3043</v>
      </c>
      <c r="P24">
        <v>2</v>
      </c>
      <c r="Q24">
        <f t="shared" si="0"/>
        <v>51.261632770683732</v>
      </c>
      <c r="R24">
        <f t="shared" si="1"/>
        <v>0.25396187944817267</v>
      </c>
      <c r="S24">
        <f t="shared" si="2"/>
        <v>18.18</v>
      </c>
      <c r="T24">
        <f t="shared" si="3"/>
        <v>1.5821476723687942E-3</v>
      </c>
      <c r="U24">
        <f t="shared" si="4"/>
        <v>-0.19364265750768575</v>
      </c>
      <c r="V24">
        <f t="shared" si="5"/>
        <v>5.6623885416666665E-2</v>
      </c>
      <c r="W24">
        <f t="shared" si="6"/>
        <v>-0.13543662441865029</v>
      </c>
      <c r="X24">
        <f t="shared" si="7"/>
        <v>-1.3114975941604852</v>
      </c>
      <c r="Y24">
        <f t="shared" si="8"/>
        <v>321.06592237926685</v>
      </c>
      <c r="Z24">
        <f t="shared" si="9"/>
        <v>2.3951904130563273</v>
      </c>
      <c r="AA24">
        <f t="shared" si="10"/>
        <v>2.3951904130563273</v>
      </c>
    </row>
    <row r="25" spans="1:27" x14ac:dyDescent="0.3">
      <c r="A25">
        <v>0.18269213749999999</v>
      </c>
      <c r="B25">
        <v>0.26923056249999999</v>
      </c>
      <c r="C25">
        <v>0.18749981874999999</v>
      </c>
      <c r="D25">
        <v>-6.4375000000000002E-2</v>
      </c>
      <c r="E25">
        <v>-0.04</v>
      </c>
      <c r="F25">
        <v>0.50624999999999998</v>
      </c>
      <c r="G25">
        <v>-8.8043312500000002E-3</v>
      </c>
      <c r="H25">
        <v>6.7141375000000095E-4</v>
      </c>
      <c r="I25">
        <v>3.08227625E-3</v>
      </c>
      <c r="J25">
        <v>170.4375</v>
      </c>
      <c r="K25">
        <v>-352.6875</v>
      </c>
      <c r="L25">
        <v>173.8125</v>
      </c>
      <c r="M25">
        <v>3018</v>
      </c>
      <c r="N25">
        <v>-6225</v>
      </c>
      <c r="O25">
        <v>3050</v>
      </c>
      <c r="P25">
        <v>2</v>
      </c>
      <c r="Q25">
        <f t="shared" si="0"/>
        <v>51.774249098390577</v>
      </c>
      <c r="R25">
        <f t="shared" si="1"/>
        <v>0.25155465784202885</v>
      </c>
      <c r="S25">
        <f t="shared" si="2"/>
        <v>18.54</v>
      </c>
      <c r="T25">
        <f t="shared" si="3"/>
        <v>1.3874218166838902E-3</v>
      </c>
      <c r="U25">
        <f t="shared" si="4"/>
        <v>-0.17584847110954147</v>
      </c>
      <c r="V25">
        <f t="shared" si="5"/>
        <v>6.249993958333333E-2</v>
      </c>
      <c r="W25">
        <f t="shared" si="6"/>
        <v>-0.11196110970952425</v>
      </c>
      <c r="X25">
        <f t="shared" si="7"/>
        <v>-1.4305194481067034</v>
      </c>
      <c r="Y25">
        <f t="shared" si="8"/>
        <v>296.64028675227718</v>
      </c>
      <c r="Z25">
        <f t="shared" si="9"/>
        <v>8.1000078300075682</v>
      </c>
      <c r="AA25">
        <f t="shared" si="10"/>
        <v>8.1000078300075682</v>
      </c>
    </row>
    <row r="26" spans="1:27" x14ac:dyDescent="0.3">
      <c r="A26">
        <v>0.227350213333333</v>
      </c>
      <c r="B26">
        <v>0.30598273333333298</v>
      </c>
      <c r="C26">
        <v>0.34188047333333299</v>
      </c>
      <c r="D26">
        <v>-1.2353333333333301</v>
      </c>
      <c r="E26">
        <v>0.57866666600000005</v>
      </c>
      <c r="F26">
        <v>0.59</v>
      </c>
      <c r="G26">
        <v>3.6393231999999998E-2</v>
      </c>
      <c r="H26">
        <v>4.1064410000000003E-2</v>
      </c>
      <c r="I26">
        <v>2.3046853333333301E-2</v>
      </c>
      <c r="J26">
        <v>-115.2</v>
      </c>
      <c r="K26">
        <v>-354.6</v>
      </c>
      <c r="L26">
        <v>496.8</v>
      </c>
      <c r="M26">
        <v>-1966</v>
      </c>
      <c r="N26">
        <v>-5954</v>
      </c>
      <c r="O26">
        <v>8140</v>
      </c>
      <c r="P26">
        <v>2</v>
      </c>
      <c r="Q26">
        <f t="shared" si="0"/>
        <v>-34.994607971453433</v>
      </c>
      <c r="R26">
        <f t="shared" si="1"/>
        <v>0.25291875008551035</v>
      </c>
      <c r="S26">
        <f t="shared" si="2"/>
        <v>52.991999999999997</v>
      </c>
      <c r="T26">
        <f t="shared" si="3"/>
        <v>1.7265693549970255E-3</v>
      </c>
      <c r="U26">
        <f t="shared" si="4"/>
        <v>-0.19985322373118444</v>
      </c>
      <c r="V26">
        <f t="shared" si="5"/>
        <v>0.11396015777777767</v>
      </c>
      <c r="W26">
        <f t="shared" si="6"/>
        <v>-8.416649659840976E-2</v>
      </c>
      <c r="X26">
        <f t="shared" si="7"/>
        <v>-1.2655224937762448</v>
      </c>
      <c r="Y26">
        <f t="shared" si="8"/>
        <v>465.00462120572359</v>
      </c>
      <c r="Z26">
        <f t="shared" si="9"/>
        <v>5.177248009348145</v>
      </c>
      <c r="AA26">
        <f t="shared" si="10"/>
        <v>5.177248009348145</v>
      </c>
    </row>
    <row r="27" spans="1:27" x14ac:dyDescent="0.3">
      <c r="A27">
        <v>0.222222</v>
      </c>
      <c r="B27">
        <v>0.26666640666666702</v>
      </c>
      <c r="C27">
        <v>0.30427320000000002</v>
      </c>
      <c r="D27">
        <v>0.475333333333333</v>
      </c>
      <c r="E27">
        <v>0.47199999999999998</v>
      </c>
      <c r="F27">
        <v>1.4266666666666701</v>
      </c>
      <c r="G27">
        <v>2.9980466466666699E-2</v>
      </c>
      <c r="H27">
        <v>2.2607426E-2</v>
      </c>
      <c r="I27">
        <v>1.2434900733333301E-2</v>
      </c>
      <c r="J27">
        <v>-118.8</v>
      </c>
      <c r="K27">
        <v>-363.6</v>
      </c>
      <c r="L27">
        <v>495</v>
      </c>
      <c r="M27">
        <v>-1919</v>
      </c>
      <c r="N27">
        <v>-5835</v>
      </c>
      <c r="O27">
        <v>7984</v>
      </c>
      <c r="P27">
        <v>2</v>
      </c>
      <c r="Q27">
        <f t="shared" si="0"/>
        <v>-36.088189470561353</v>
      </c>
      <c r="R27">
        <f t="shared" si="1"/>
        <v>0.25933800770189386</v>
      </c>
      <c r="S27">
        <f t="shared" si="2"/>
        <v>52.8</v>
      </c>
      <c r="T27">
        <f t="shared" si="3"/>
        <v>1.687624082602501E-3</v>
      </c>
      <c r="U27">
        <f t="shared" si="4"/>
        <v>-0.17417368768677083</v>
      </c>
      <c r="V27">
        <f t="shared" si="5"/>
        <v>0.10142440000000001</v>
      </c>
      <c r="W27">
        <f t="shared" si="6"/>
        <v>-7.106166360416831E-2</v>
      </c>
      <c r="X27">
        <f t="shared" si="7"/>
        <v>-1.488962030638521</v>
      </c>
      <c r="Y27">
        <f t="shared" si="8"/>
        <v>520.58479024771145</v>
      </c>
      <c r="Z27">
        <f t="shared" si="9"/>
        <v>14.066306201137694</v>
      </c>
      <c r="AA27">
        <f t="shared" si="10"/>
        <v>14.066306201137694</v>
      </c>
    </row>
    <row r="28" spans="1:27" x14ac:dyDescent="0.3">
      <c r="A28">
        <v>0.25299120000000003</v>
      </c>
      <c r="B28">
        <v>0.20170921999999999</v>
      </c>
      <c r="C28">
        <v>0.26495700666666699</v>
      </c>
      <c r="D28">
        <v>0.628</v>
      </c>
      <c r="E28">
        <v>0.43466666666666698</v>
      </c>
      <c r="F28">
        <v>0.67599999333333305</v>
      </c>
      <c r="G28">
        <v>1.12630166666667E-2</v>
      </c>
      <c r="H28">
        <v>1.3411437999999999E-2</v>
      </c>
      <c r="I28">
        <v>6.5266739999999997E-3</v>
      </c>
      <c r="J28">
        <v>-115.2</v>
      </c>
      <c r="K28">
        <v>-361.8</v>
      </c>
      <c r="L28">
        <v>504</v>
      </c>
      <c r="M28">
        <v>-1915</v>
      </c>
      <c r="N28">
        <v>-5874</v>
      </c>
      <c r="O28">
        <v>8006</v>
      </c>
      <c r="P28">
        <v>2</v>
      </c>
      <c r="Q28">
        <f t="shared" si="0"/>
        <v>-34.994607971453433</v>
      </c>
      <c r="R28">
        <f t="shared" si="1"/>
        <v>0.25805415617861716</v>
      </c>
      <c r="S28">
        <f t="shared" si="2"/>
        <v>53.76</v>
      </c>
      <c r="T28">
        <f t="shared" si="3"/>
        <v>1.9212951094243859E-3</v>
      </c>
      <c r="U28">
        <f t="shared" si="4"/>
        <v>-0.13174677353243708</v>
      </c>
      <c r="V28">
        <f t="shared" si="5"/>
        <v>8.8319002222222331E-2</v>
      </c>
      <c r="W28">
        <f t="shared" si="6"/>
        <v>-4.1506476200790371E-2</v>
      </c>
      <c r="X28">
        <f t="shared" si="7"/>
        <v>-1.9587132895902168</v>
      </c>
      <c r="Y28">
        <f t="shared" si="8"/>
        <v>608.70252887065806</v>
      </c>
      <c r="Z28">
        <f t="shared" si="9"/>
        <v>7.6540719021307257</v>
      </c>
      <c r="AA28">
        <f t="shared" si="10"/>
        <v>7.6540719021307257</v>
      </c>
    </row>
    <row r="29" spans="1:27" x14ac:dyDescent="0.3">
      <c r="A29">
        <v>0.19316222</v>
      </c>
      <c r="B29">
        <v>0.230769006666667</v>
      </c>
      <c r="C29">
        <v>0.150427213333333</v>
      </c>
      <c r="D29">
        <v>0.74</v>
      </c>
      <c r="E29">
        <v>-1.38866666666667</v>
      </c>
      <c r="F29">
        <v>21.360666666666699</v>
      </c>
      <c r="G29">
        <v>5.7617234E-3</v>
      </c>
      <c r="H29">
        <v>1.53808846666667E-2</v>
      </c>
      <c r="I29">
        <v>2.9947900666666698E-3</v>
      </c>
      <c r="J29">
        <v>167.4</v>
      </c>
      <c r="K29">
        <v>158.4</v>
      </c>
      <c r="L29">
        <v>183.6</v>
      </c>
      <c r="M29">
        <v>2771</v>
      </c>
      <c r="N29">
        <v>2752</v>
      </c>
      <c r="O29">
        <v>2846</v>
      </c>
      <c r="P29">
        <v>2</v>
      </c>
      <c r="Q29">
        <f t="shared" si="0"/>
        <v>50.851539708518274</v>
      </c>
      <c r="R29">
        <f t="shared" si="1"/>
        <v>-0.1129789340483498</v>
      </c>
      <c r="S29">
        <f t="shared" si="2"/>
        <v>19.584</v>
      </c>
      <c r="T29">
        <f t="shared" si="3"/>
        <v>1.4669349313792626E-3</v>
      </c>
      <c r="U29">
        <f t="shared" si="4"/>
        <v>-0.15072723031509833</v>
      </c>
      <c r="V29">
        <f t="shared" si="5"/>
        <v>5.0142404444444337E-2</v>
      </c>
      <c r="W29">
        <f t="shared" si="6"/>
        <v>-9.9117890939274728E-2</v>
      </c>
      <c r="X29">
        <f t="shared" si="7"/>
        <v>0.74955888071561494</v>
      </c>
      <c r="Y29">
        <f t="shared" si="8"/>
        <v>390.56762867640788</v>
      </c>
      <c r="Z29">
        <f t="shared" si="9"/>
        <v>426.00004733186285</v>
      </c>
      <c r="AA29">
        <f t="shared" si="10"/>
        <v>426.00004733186285</v>
      </c>
    </row>
    <row r="30" spans="1:27" x14ac:dyDescent="0.3">
      <c r="A30">
        <v>0.140170826666667</v>
      </c>
      <c r="B30">
        <v>0.184615213333333</v>
      </c>
      <c r="C30">
        <v>0.2341878</v>
      </c>
      <c r="D30">
        <v>0.67866666666666697</v>
      </c>
      <c r="E30">
        <v>-0.93066666666666698</v>
      </c>
      <c r="F30">
        <v>19.659333333333301</v>
      </c>
      <c r="G30">
        <v>-4.34569333333333E-3</v>
      </c>
      <c r="H30">
        <v>-4.2643239999999999E-3</v>
      </c>
      <c r="I30">
        <v>-8.0729178666666592E-3</v>
      </c>
      <c r="J30">
        <v>180</v>
      </c>
      <c r="K30">
        <v>178.2</v>
      </c>
      <c r="L30">
        <v>172.8</v>
      </c>
      <c r="M30">
        <v>2758</v>
      </c>
      <c r="N30">
        <v>2730</v>
      </c>
      <c r="O30">
        <v>2659</v>
      </c>
      <c r="P30">
        <v>2</v>
      </c>
      <c r="Q30">
        <f t="shared" si="0"/>
        <v>54.67907495539599</v>
      </c>
      <c r="R30">
        <f t="shared" si="1"/>
        <v>-0.12710130080439352</v>
      </c>
      <c r="S30">
        <f t="shared" si="2"/>
        <v>18.431999999999999</v>
      </c>
      <c r="T30">
        <f t="shared" si="3"/>
        <v>1.0645015469259033E-3</v>
      </c>
      <c r="U30">
        <f t="shared" si="4"/>
        <v>-0.120581789477294</v>
      </c>
      <c r="V30">
        <f t="shared" si="5"/>
        <v>7.8062599999999996E-2</v>
      </c>
      <c r="W30">
        <f t="shared" si="6"/>
        <v>-4.1454687930368106E-2</v>
      </c>
      <c r="X30">
        <f t="shared" si="7"/>
        <v>1.0540671303300502</v>
      </c>
      <c r="Y30">
        <f t="shared" si="8"/>
        <v>236.11819232257187</v>
      </c>
      <c r="Z30">
        <f t="shared" si="9"/>
        <v>251.84061680412006</v>
      </c>
      <c r="AA30">
        <f t="shared" si="10"/>
        <v>251.84061680412006</v>
      </c>
    </row>
    <row r="31" spans="1:27" x14ac:dyDescent="0.3">
      <c r="A31">
        <v>0.227350206666667</v>
      </c>
      <c r="B31">
        <v>0.24786306666666699</v>
      </c>
      <c r="C31">
        <v>0.15384602</v>
      </c>
      <c r="D31">
        <v>0.72</v>
      </c>
      <c r="E31">
        <v>-1.0173333333333301</v>
      </c>
      <c r="F31">
        <v>17.988</v>
      </c>
      <c r="G31">
        <v>-9.8632701999999996E-3</v>
      </c>
      <c r="H31">
        <v>-9.4400979999999992E-3</v>
      </c>
      <c r="I31">
        <v>-7.5846380666666699E-3</v>
      </c>
      <c r="J31">
        <v>172.8</v>
      </c>
      <c r="K31">
        <v>178.2</v>
      </c>
      <c r="L31">
        <v>176.4</v>
      </c>
      <c r="M31">
        <v>3017</v>
      </c>
      <c r="N31">
        <v>3024</v>
      </c>
      <c r="O31">
        <v>3053</v>
      </c>
      <c r="P31">
        <v>2</v>
      </c>
      <c r="Q31">
        <f t="shared" si="0"/>
        <v>52.491911957180157</v>
      </c>
      <c r="R31">
        <f t="shared" si="1"/>
        <v>-0.12710130080439352</v>
      </c>
      <c r="S31">
        <f t="shared" si="2"/>
        <v>18.815999999999999</v>
      </c>
      <c r="T31">
        <f t="shared" si="3"/>
        <v>1.7265693043682574E-3</v>
      </c>
      <c r="U31">
        <f t="shared" si="4"/>
        <v>-0.16189224920501269</v>
      </c>
      <c r="V31">
        <f t="shared" si="5"/>
        <v>5.1282006666666664E-2</v>
      </c>
      <c r="W31">
        <f t="shared" si="6"/>
        <v>-0.10888367323397777</v>
      </c>
      <c r="X31">
        <f t="shared" si="7"/>
        <v>0.78509812192082429</v>
      </c>
      <c r="Y31">
        <f t="shared" si="8"/>
        <v>366.91231921371769</v>
      </c>
      <c r="Z31">
        <f t="shared" si="9"/>
        <v>350.76630516668553</v>
      </c>
      <c r="AA31">
        <f t="shared" si="10"/>
        <v>350.76630516668553</v>
      </c>
    </row>
    <row r="32" spans="1:27" x14ac:dyDescent="0.3">
      <c r="A32">
        <v>0.19316227999999999</v>
      </c>
      <c r="B32">
        <v>0.252991353333333</v>
      </c>
      <c r="C32">
        <v>0.29743574</v>
      </c>
      <c r="D32">
        <v>2.536</v>
      </c>
      <c r="E32">
        <v>-0.57199999999999995</v>
      </c>
      <c r="F32">
        <v>40.24</v>
      </c>
      <c r="G32">
        <v>-6.0758479999999997E-2</v>
      </c>
      <c r="H32">
        <v>-1.09537433333333E-2</v>
      </c>
      <c r="I32">
        <v>-1.5299619999999999E-3</v>
      </c>
      <c r="J32">
        <v>370.8</v>
      </c>
      <c r="K32">
        <v>360</v>
      </c>
      <c r="L32">
        <v>356.4</v>
      </c>
      <c r="M32">
        <v>6053</v>
      </c>
      <c r="N32">
        <v>6034</v>
      </c>
      <c r="O32">
        <v>6001</v>
      </c>
      <c r="P32">
        <v>2</v>
      </c>
      <c r="Q32">
        <f t="shared" si="0"/>
        <v>112.63889440811575</v>
      </c>
      <c r="R32">
        <f t="shared" si="1"/>
        <v>-0.25677030465534045</v>
      </c>
      <c r="S32">
        <f t="shared" si="2"/>
        <v>38.015999999999998</v>
      </c>
      <c r="T32">
        <f t="shared" si="3"/>
        <v>1.4669353870382204E-3</v>
      </c>
      <c r="U32">
        <f t="shared" si="4"/>
        <v>-0.16524179972175487</v>
      </c>
      <c r="V32">
        <f t="shared" si="5"/>
        <v>9.9145246666666673E-2</v>
      </c>
      <c r="W32">
        <f t="shared" si="6"/>
        <v>-6.4629617668049991E-2</v>
      </c>
      <c r="X32">
        <f t="shared" si="7"/>
        <v>1.5539064878723625</v>
      </c>
      <c r="Y32">
        <f t="shared" si="8"/>
        <v>383.43744433671617</v>
      </c>
      <c r="Z32">
        <f t="shared" si="9"/>
        <v>405.8691803479972</v>
      </c>
      <c r="AA32">
        <f t="shared" si="10"/>
        <v>405.8691803479972</v>
      </c>
    </row>
    <row r="33" spans="1:27" x14ac:dyDescent="0.3">
      <c r="A33">
        <v>0.27863228000000001</v>
      </c>
      <c r="B33">
        <v>0.241025406666667</v>
      </c>
      <c r="C33">
        <v>0.12649562</v>
      </c>
      <c r="D33">
        <v>1.18</v>
      </c>
      <c r="E33">
        <v>-2.6419999999999999</v>
      </c>
      <c r="F33">
        <v>43.448</v>
      </c>
      <c r="G33">
        <v>-1.686197E-2</v>
      </c>
      <c r="H33">
        <v>-6.5104333333333301E-3</v>
      </c>
      <c r="I33">
        <v>-2.2460931999999999E-2</v>
      </c>
      <c r="J33">
        <v>351</v>
      </c>
      <c r="K33">
        <v>358.2</v>
      </c>
      <c r="L33">
        <v>370.8</v>
      </c>
      <c r="M33">
        <v>6209</v>
      </c>
      <c r="N33">
        <v>6272</v>
      </c>
      <c r="O33">
        <v>6367</v>
      </c>
      <c r="P33">
        <v>2</v>
      </c>
      <c r="Q33">
        <f t="shared" si="0"/>
        <v>106.62419616302218</v>
      </c>
      <c r="R33">
        <f t="shared" si="1"/>
        <v>-0.25548645313206375</v>
      </c>
      <c r="S33">
        <f t="shared" si="2"/>
        <v>39.552</v>
      </c>
      <c r="T33">
        <f t="shared" si="3"/>
        <v>2.116021572654567E-3</v>
      </c>
      <c r="U33">
        <f t="shared" si="4"/>
        <v>-0.1574262181355762</v>
      </c>
      <c r="V33">
        <f t="shared" si="5"/>
        <v>4.216520666666667E-2</v>
      </c>
      <c r="W33">
        <f t="shared" si="6"/>
        <v>-0.11314498989625496</v>
      </c>
      <c r="X33">
        <f t="shared" si="7"/>
        <v>1.6228964664071244</v>
      </c>
      <c r="Y33">
        <f t="shared" si="8"/>
        <v>938.02457349906649</v>
      </c>
      <c r="Z33">
        <f t="shared" si="9"/>
        <v>1030.4230296669559</v>
      </c>
      <c r="AA33">
        <f t="shared" si="10"/>
        <v>1030.4230296669559</v>
      </c>
    </row>
    <row r="34" spans="1:27" x14ac:dyDescent="0.3">
      <c r="A34">
        <v>0.20170920000000001</v>
      </c>
      <c r="B34">
        <v>0.23076907333333299</v>
      </c>
      <c r="C34">
        <v>0.254700606666667</v>
      </c>
      <c r="D34">
        <v>1.8293333333333299</v>
      </c>
      <c r="E34">
        <v>-1.5926666733333299</v>
      </c>
      <c r="F34">
        <v>37.966000000000001</v>
      </c>
      <c r="G34">
        <v>-2.9297260000000001E-3</v>
      </c>
      <c r="H34">
        <v>1.6894505333333299E-2</v>
      </c>
      <c r="I34">
        <v>-9.2447973333333391E-3</v>
      </c>
      <c r="J34">
        <v>356.4</v>
      </c>
      <c r="K34">
        <v>363.6</v>
      </c>
      <c r="L34">
        <v>365.4</v>
      </c>
      <c r="M34">
        <v>5850</v>
      </c>
      <c r="N34">
        <v>5864</v>
      </c>
      <c r="O34">
        <v>5859</v>
      </c>
      <c r="P34">
        <v>2</v>
      </c>
      <c r="Q34">
        <f t="shared" si="0"/>
        <v>108.26456841168405</v>
      </c>
      <c r="R34">
        <f t="shared" si="1"/>
        <v>-0.25933800770189386</v>
      </c>
      <c r="S34">
        <f t="shared" si="2"/>
        <v>38.975999999999999</v>
      </c>
      <c r="T34">
        <f t="shared" si="3"/>
        <v>1.531843398054578E-3</v>
      </c>
      <c r="U34">
        <f t="shared" si="4"/>
        <v>-0.15072727385856227</v>
      </c>
      <c r="V34">
        <f t="shared" si="5"/>
        <v>8.4900202222222332E-2</v>
      </c>
      <c r="W34">
        <f t="shared" si="6"/>
        <v>-6.4295228238285373E-2</v>
      </c>
      <c r="X34">
        <f t="shared" si="7"/>
        <v>1.7205778427681806</v>
      </c>
      <c r="Y34">
        <f t="shared" si="8"/>
        <v>459.08017860760958</v>
      </c>
      <c r="Z34">
        <f t="shared" si="9"/>
        <v>447.18385829783728</v>
      </c>
      <c r="AA34">
        <f t="shared" si="10"/>
        <v>447.18385829783728</v>
      </c>
    </row>
    <row r="35" spans="1:27" x14ac:dyDescent="0.3">
      <c r="A35">
        <v>0.41025667999999998</v>
      </c>
      <c r="B35">
        <v>0.54017046666666702</v>
      </c>
      <c r="C35">
        <v>0.30427340000000003</v>
      </c>
      <c r="D35">
        <v>1.252</v>
      </c>
      <c r="E35">
        <v>-4.2493333333333299</v>
      </c>
      <c r="F35">
        <v>80.048666666666705</v>
      </c>
      <c r="G35">
        <v>3.0289804133333299E-2</v>
      </c>
      <c r="H35">
        <v>5.0618740000000001E-3</v>
      </c>
      <c r="I35">
        <v>7.3274666666666599E-2</v>
      </c>
      <c r="J35">
        <v>752.4</v>
      </c>
      <c r="K35">
        <v>748.8</v>
      </c>
      <c r="L35">
        <v>770.4</v>
      </c>
      <c r="M35">
        <v>12286</v>
      </c>
      <c r="N35">
        <v>12240</v>
      </c>
      <c r="O35">
        <v>12340</v>
      </c>
      <c r="P35">
        <v>2</v>
      </c>
      <c r="Q35">
        <f t="shared" si="0"/>
        <v>228.55853331355522</v>
      </c>
      <c r="R35">
        <f t="shared" si="1"/>
        <v>-0.53408223368310814</v>
      </c>
      <c r="S35">
        <f t="shared" si="2"/>
        <v>82.176000000000002</v>
      </c>
      <c r="T35">
        <f t="shared" si="3"/>
        <v>3.1156188550933205E-3</v>
      </c>
      <c r="U35">
        <f t="shared" si="4"/>
        <v>-0.35281340208863149</v>
      </c>
      <c r="V35">
        <f t="shared" si="5"/>
        <v>0.10142446666666667</v>
      </c>
      <c r="W35">
        <f t="shared" si="6"/>
        <v>-0.24827331656687152</v>
      </c>
      <c r="X35">
        <f t="shared" si="7"/>
        <v>1.5137810256678954</v>
      </c>
      <c r="Y35">
        <f t="shared" si="8"/>
        <v>810.21870462551112</v>
      </c>
      <c r="Z35">
        <f t="shared" si="9"/>
        <v>789.24414687580349</v>
      </c>
      <c r="AA35">
        <f t="shared" si="10"/>
        <v>789.24414687580349</v>
      </c>
    </row>
    <row r="36" spans="1:27" x14ac:dyDescent="0.3">
      <c r="A36">
        <v>0.26495707333333302</v>
      </c>
      <c r="B36">
        <v>0.27692307999999999</v>
      </c>
      <c r="C36">
        <v>0.27692307999999999</v>
      </c>
      <c r="D36">
        <v>0.86599999999999999</v>
      </c>
      <c r="E36">
        <v>-4.1779999999999999</v>
      </c>
      <c r="F36">
        <v>85.707999999999998</v>
      </c>
      <c r="G36">
        <v>-3.0175787333333301E-2</v>
      </c>
      <c r="H36">
        <v>-2.4804719999999999E-2</v>
      </c>
      <c r="I36">
        <v>-2.8092461999999999E-2</v>
      </c>
      <c r="J36">
        <v>763.2</v>
      </c>
      <c r="K36">
        <v>768.6</v>
      </c>
      <c r="L36">
        <v>777.6</v>
      </c>
      <c r="M36">
        <v>11955</v>
      </c>
      <c r="N36">
        <v>11953</v>
      </c>
      <c r="O36">
        <v>11980</v>
      </c>
      <c r="P36">
        <v>2</v>
      </c>
      <c r="Q36">
        <f t="shared" si="0"/>
        <v>231.83927781087903</v>
      </c>
      <c r="R36">
        <f t="shared" si="1"/>
        <v>-0.54820460043915187</v>
      </c>
      <c r="S36">
        <f t="shared" si="2"/>
        <v>82.944000000000003</v>
      </c>
      <c r="T36">
        <f t="shared" si="3"/>
        <v>2.0121677323271759E-3</v>
      </c>
      <c r="U36">
        <f t="shared" si="4"/>
        <v>-0.18087285403545239</v>
      </c>
      <c r="V36">
        <f t="shared" si="5"/>
        <v>9.2307693333333329E-2</v>
      </c>
      <c r="W36">
        <f t="shared" si="6"/>
        <v>-8.6552992969791881E-2</v>
      </c>
      <c r="X36">
        <f t="shared" si="7"/>
        <v>3.0308837849802481</v>
      </c>
      <c r="Y36">
        <f t="shared" si="8"/>
        <v>898.55999001600014</v>
      </c>
      <c r="Z36">
        <f t="shared" si="9"/>
        <v>928.50332301662979</v>
      </c>
      <c r="AA36">
        <f t="shared" si="10"/>
        <v>928.50332301662979</v>
      </c>
    </row>
    <row r="37" spans="1:27" x14ac:dyDescent="0.3">
      <c r="A37">
        <v>0.252991353333333</v>
      </c>
      <c r="B37">
        <v>0.22564087999999999</v>
      </c>
      <c r="C37">
        <v>0.22222207333333299</v>
      </c>
      <c r="D37">
        <v>3.4846666666666701</v>
      </c>
      <c r="E37">
        <v>-4.61933333333333</v>
      </c>
      <c r="F37">
        <v>87.8273333333333</v>
      </c>
      <c r="G37">
        <v>1.5218130666666701E-2</v>
      </c>
      <c r="H37">
        <v>-2.0996138666666699E-2</v>
      </c>
      <c r="I37">
        <v>1.1132794E-2</v>
      </c>
      <c r="J37">
        <v>766.8</v>
      </c>
      <c r="K37">
        <v>765</v>
      </c>
      <c r="L37">
        <v>786.6</v>
      </c>
      <c r="M37">
        <v>13295</v>
      </c>
      <c r="N37">
        <v>13300</v>
      </c>
      <c r="O37">
        <v>13343</v>
      </c>
      <c r="P37">
        <v>2</v>
      </c>
      <c r="Q37">
        <f t="shared" si="0"/>
        <v>232.9328593099869</v>
      </c>
      <c r="R37">
        <f t="shared" si="1"/>
        <v>-0.54563689739259846</v>
      </c>
      <c r="S37">
        <f t="shared" si="2"/>
        <v>83.903999999999996</v>
      </c>
      <c r="T37">
        <f t="shared" si="3"/>
        <v>1.9212962738861647E-3</v>
      </c>
      <c r="U37">
        <f t="shared" si="4"/>
        <v>-0.14737778430267001</v>
      </c>
      <c r="V37">
        <f t="shared" si="5"/>
        <v>7.4074024444444331E-2</v>
      </c>
      <c r="W37">
        <f t="shared" si="6"/>
        <v>-7.1382463584339528E-2</v>
      </c>
      <c r="X37">
        <f t="shared" si="7"/>
        <v>3.702300858805307</v>
      </c>
      <c r="Y37">
        <f t="shared" si="8"/>
        <v>1132.7047589121901</v>
      </c>
      <c r="Z37">
        <f t="shared" si="9"/>
        <v>1185.6697943987635</v>
      </c>
      <c r="AA37">
        <f t="shared" si="10"/>
        <v>1185.6697943987635</v>
      </c>
    </row>
    <row r="38" spans="1:27" x14ac:dyDescent="0.3">
      <c r="A38">
        <v>0.63905376923076895</v>
      </c>
      <c r="B38">
        <v>1.7751469230769201E-2</v>
      </c>
      <c r="C38">
        <v>0.62130161538461504</v>
      </c>
      <c r="D38">
        <v>0.65846153846153899</v>
      </c>
      <c r="E38">
        <v>-0.19230769230769201</v>
      </c>
      <c r="F38">
        <v>0.83692307692307699</v>
      </c>
      <c r="G38">
        <v>3.2301667692307703E-2</v>
      </c>
      <c r="H38">
        <v>-4.33819376923077E-3</v>
      </c>
      <c r="I38">
        <v>-1.04229153846154E-2</v>
      </c>
      <c r="J38">
        <v>-261.69230769230802</v>
      </c>
      <c r="K38">
        <v>0</v>
      </c>
      <c r="L38">
        <v>267.92307692307702</v>
      </c>
      <c r="M38">
        <v>-4637</v>
      </c>
      <c r="N38">
        <v>0</v>
      </c>
      <c r="O38">
        <v>4645</v>
      </c>
      <c r="P38">
        <v>3</v>
      </c>
      <c r="Q38">
        <f t="shared" si="0"/>
        <v>-79.494962819768119</v>
      </c>
      <c r="R38">
        <f t="shared" si="1"/>
        <v>0</v>
      </c>
      <c r="S38">
        <f t="shared" si="2"/>
        <v>28.57846153846155</v>
      </c>
      <c r="T38">
        <f t="shared" si="3"/>
        <v>4.8531762428191041E-3</v>
      </c>
      <c r="U38">
        <f t="shared" si="4"/>
        <v>-1.159440702122677E-2</v>
      </c>
      <c r="V38">
        <f t="shared" si="5"/>
        <v>0.20710053846153834</v>
      </c>
      <c r="W38">
        <f t="shared" si="6"/>
        <v>0.20035930768313068</v>
      </c>
      <c r="X38">
        <f t="shared" si="7"/>
        <v>0</v>
      </c>
      <c r="Y38">
        <f t="shared" si="8"/>
        <v>137.99317834110315</v>
      </c>
      <c r="Z38">
        <f t="shared" si="9"/>
        <v>4.0411438962941473</v>
      </c>
      <c r="AA38">
        <f t="shared" si="10"/>
        <v>4.0411438962941473</v>
      </c>
    </row>
    <row r="39" spans="1:27" x14ac:dyDescent="0.3">
      <c r="A39">
        <v>0.60946761538461502</v>
      </c>
      <c r="B39">
        <v>2.36686230769231E-2</v>
      </c>
      <c r="C39">
        <v>0.52268261538461502</v>
      </c>
      <c r="D39">
        <v>0.22615384615384601</v>
      </c>
      <c r="E39">
        <v>0.790769230769231</v>
      </c>
      <c r="F39">
        <v>1.2423076923076899</v>
      </c>
      <c r="G39">
        <v>-7.1364076923076901E-4</v>
      </c>
      <c r="H39">
        <v>-2.0996097769230799E-2</v>
      </c>
      <c r="I39">
        <v>6.0095292307692303E-4</v>
      </c>
      <c r="J39">
        <v>-265.84615384615398</v>
      </c>
      <c r="K39">
        <v>2.0769230769230802</v>
      </c>
      <c r="L39">
        <v>272.07692307692298</v>
      </c>
      <c r="M39">
        <v>-4349</v>
      </c>
      <c r="N39">
        <v>29</v>
      </c>
      <c r="O39">
        <v>4435</v>
      </c>
      <c r="P39">
        <v>3</v>
      </c>
      <c r="Q39">
        <f t="shared" si="0"/>
        <v>-80.756787626431048</v>
      </c>
      <c r="R39">
        <f t="shared" si="1"/>
        <v>-1.4813671422423511E-3</v>
      </c>
      <c r="S39">
        <f t="shared" si="2"/>
        <v>29.021538461538448</v>
      </c>
      <c r="T39">
        <f t="shared" si="3"/>
        <v>4.6284896422919197E-3</v>
      </c>
      <c r="U39">
        <f t="shared" si="4"/>
        <v>-1.5459207686887102E-2</v>
      </c>
      <c r="V39">
        <f t="shared" si="5"/>
        <v>0.17422753846153835</v>
      </c>
      <c r="W39">
        <f t="shared" si="6"/>
        <v>0.16339682041694317</v>
      </c>
      <c r="X39">
        <f t="shared" si="7"/>
        <v>9.5824260353192928E-2</v>
      </c>
      <c r="Y39">
        <f t="shared" si="8"/>
        <v>166.57262518775187</v>
      </c>
      <c r="Z39">
        <f t="shared" si="9"/>
        <v>7.1303750444820517</v>
      </c>
      <c r="AA39">
        <f t="shared" si="10"/>
        <v>7.1303750444820517</v>
      </c>
    </row>
    <row r="40" spans="1:27" x14ac:dyDescent="0.3">
      <c r="A40">
        <v>0.63708115384615405</v>
      </c>
      <c r="B40">
        <v>1.57790923076923E-2</v>
      </c>
      <c r="C40">
        <v>0.55029607692307703</v>
      </c>
      <c r="D40">
        <v>0.13307692307692301</v>
      </c>
      <c r="E40">
        <v>0.47538461538461502</v>
      </c>
      <c r="F40">
        <v>-5.5384623076923101E-2</v>
      </c>
      <c r="G40">
        <v>7.6810454615384603E-3</v>
      </c>
      <c r="H40">
        <v>-1.9737830000000001E-2</v>
      </c>
      <c r="I40">
        <v>-4.5072076923076897E-4</v>
      </c>
      <c r="J40">
        <v>-272.07692307692298</v>
      </c>
      <c r="K40">
        <v>-2.0769230769230802</v>
      </c>
      <c r="L40">
        <v>274.15384615384602</v>
      </c>
      <c r="M40">
        <v>-4010</v>
      </c>
      <c r="N40">
        <v>-28</v>
      </c>
      <c r="O40">
        <v>4087</v>
      </c>
      <c r="P40">
        <v>3</v>
      </c>
      <c r="Q40">
        <f t="shared" si="0"/>
        <v>-82.649524836425456</v>
      </c>
      <c r="R40">
        <f t="shared" si="1"/>
        <v>1.4813671422423511E-3</v>
      </c>
      <c r="S40">
        <f t="shared" si="2"/>
        <v>29.243076923076906</v>
      </c>
      <c r="T40">
        <f t="shared" si="3"/>
        <v>4.8381955783088921E-3</v>
      </c>
      <c r="U40">
        <f t="shared" si="4"/>
        <v>-1.0306145156919239E-2</v>
      </c>
      <c r="V40">
        <f t="shared" si="5"/>
        <v>0.18343202564102568</v>
      </c>
      <c r="W40">
        <f t="shared" si="6"/>
        <v>0.17796407606241532</v>
      </c>
      <c r="X40">
        <f t="shared" si="7"/>
        <v>-0.14373629710113342</v>
      </c>
      <c r="Y40">
        <f t="shared" si="8"/>
        <v>159.42187205796475</v>
      </c>
      <c r="Z40">
        <f t="shared" si="9"/>
        <v>-0.30193540568161287</v>
      </c>
      <c r="AA40">
        <f t="shared" si="10"/>
        <v>-0.30193540568161287</v>
      </c>
    </row>
    <row r="41" spans="1:27" x14ac:dyDescent="0.3">
      <c r="A41">
        <v>0.39458666666666697</v>
      </c>
      <c r="B41">
        <v>0.72222249999999999</v>
      </c>
      <c r="C41">
        <v>0.37321916666666699</v>
      </c>
      <c r="D41">
        <v>-0.71499999999999997</v>
      </c>
      <c r="E41">
        <v>9.2222222222222205E-2</v>
      </c>
      <c r="F41">
        <v>1.1227777777777801</v>
      </c>
      <c r="G41">
        <v>2.13216016666667E-2</v>
      </c>
      <c r="H41">
        <v>-7.8125038888888897E-3</v>
      </c>
      <c r="I41">
        <v>1.8622518388888901E-2</v>
      </c>
      <c r="J41">
        <v>157.5</v>
      </c>
      <c r="K41">
        <v>-303</v>
      </c>
      <c r="L41">
        <v>156</v>
      </c>
      <c r="M41">
        <v>2962</v>
      </c>
      <c r="N41">
        <v>-6213</v>
      </c>
      <c r="O41">
        <v>3040</v>
      </c>
      <c r="P41">
        <v>3</v>
      </c>
      <c r="Q41">
        <f t="shared" si="0"/>
        <v>47.844190585971489</v>
      </c>
      <c r="R41">
        <f t="shared" si="1"/>
        <v>0.21611500641824488</v>
      </c>
      <c r="S41">
        <f t="shared" si="2"/>
        <v>16.64</v>
      </c>
      <c r="T41">
        <f t="shared" si="3"/>
        <v>2.99661582264813E-3</v>
      </c>
      <c r="U41">
        <f t="shared" si="4"/>
        <v>-0.47172104551061445</v>
      </c>
      <c r="V41">
        <f t="shared" si="5"/>
        <v>0.124406388888889</v>
      </c>
      <c r="W41">
        <f t="shared" si="6"/>
        <v>-0.3443180407990773</v>
      </c>
      <c r="X41">
        <f t="shared" si="7"/>
        <v>-0.45814154037649774</v>
      </c>
      <c r="Y41">
        <f t="shared" si="8"/>
        <v>133.75518852863476</v>
      </c>
      <c r="Z41">
        <f t="shared" si="9"/>
        <v>9.0250813306747926</v>
      </c>
      <c r="AA41">
        <f t="shared" si="10"/>
        <v>9.0250813306747926</v>
      </c>
    </row>
    <row r="42" spans="1:27" x14ac:dyDescent="0.3">
      <c r="A42">
        <v>0.3148145</v>
      </c>
      <c r="B42">
        <v>0.54415972222222198</v>
      </c>
      <c r="C42">
        <v>0.27207949999999997</v>
      </c>
      <c r="D42">
        <v>0.65666666666666695</v>
      </c>
      <c r="E42">
        <v>-0.23833332777777799</v>
      </c>
      <c r="F42">
        <v>0.41277777777777802</v>
      </c>
      <c r="G42">
        <v>1.05929783888889E-2</v>
      </c>
      <c r="H42">
        <v>-1.7130542222222201E-2</v>
      </c>
      <c r="I42">
        <v>4.7742988888888902E-3</v>
      </c>
      <c r="J42">
        <v>157.5</v>
      </c>
      <c r="K42">
        <v>-330</v>
      </c>
      <c r="L42">
        <v>159</v>
      </c>
      <c r="M42">
        <v>3358</v>
      </c>
      <c r="N42">
        <v>-7040</v>
      </c>
      <c r="O42">
        <v>3516</v>
      </c>
      <c r="P42">
        <v>3</v>
      </c>
      <c r="Q42">
        <f t="shared" si="0"/>
        <v>47.844190585971489</v>
      </c>
      <c r="R42">
        <f t="shared" si="1"/>
        <v>0.23537277926739542</v>
      </c>
      <c r="S42">
        <f t="shared" si="2"/>
        <v>16.96</v>
      </c>
      <c r="T42">
        <f t="shared" si="3"/>
        <v>2.3908007836868765E-3</v>
      </c>
      <c r="U42">
        <f t="shared" si="4"/>
        <v>-0.35541899219621664</v>
      </c>
      <c r="V42">
        <f t="shared" si="5"/>
        <v>9.0693166666666658E-2</v>
      </c>
      <c r="W42">
        <f t="shared" si="6"/>
        <v>-0.26233502474586312</v>
      </c>
      <c r="X42">
        <f t="shared" si="7"/>
        <v>-0.66224029788890082</v>
      </c>
      <c r="Y42">
        <f t="shared" si="8"/>
        <v>187.0041660617577</v>
      </c>
      <c r="Z42">
        <f t="shared" si="9"/>
        <v>4.5513658079103134</v>
      </c>
      <c r="AA42">
        <f t="shared" si="10"/>
        <v>4.5513658079103134</v>
      </c>
    </row>
    <row r="43" spans="1:27" x14ac:dyDescent="0.3">
      <c r="A43">
        <v>0.30484299999999998</v>
      </c>
      <c r="B43">
        <v>0.63247894444444497</v>
      </c>
      <c r="C43">
        <v>0.25783450000000002</v>
      </c>
      <c r="D43">
        <v>1.0288888888888901</v>
      </c>
      <c r="E43">
        <v>-0.19055555555555601</v>
      </c>
      <c r="F43">
        <v>1.0077777722222201</v>
      </c>
      <c r="G43">
        <v>6.4832966666666702E-3</v>
      </c>
      <c r="H43">
        <v>-2.00466655555556E-2</v>
      </c>
      <c r="I43">
        <v>3.0517584444444499E-3</v>
      </c>
      <c r="J43">
        <v>157.5</v>
      </c>
      <c r="K43">
        <v>-316.5</v>
      </c>
      <c r="L43">
        <v>162</v>
      </c>
      <c r="M43">
        <v>3043</v>
      </c>
      <c r="N43">
        <v>-6165</v>
      </c>
      <c r="O43">
        <v>3126</v>
      </c>
      <c r="P43">
        <v>3</v>
      </c>
      <c r="Q43">
        <f t="shared" si="0"/>
        <v>47.844190585971489</v>
      </c>
      <c r="R43">
        <f t="shared" si="1"/>
        <v>0.22574389284282015</v>
      </c>
      <c r="S43">
        <f t="shared" si="2"/>
        <v>17.28</v>
      </c>
      <c r="T43">
        <f t="shared" si="3"/>
        <v>2.3150740620316358E-3</v>
      </c>
      <c r="U43">
        <f t="shared" si="4"/>
        <v>-0.41310486579521327</v>
      </c>
      <c r="V43">
        <f t="shared" si="5"/>
        <v>8.5944833333333345E-2</v>
      </c>
      <c r="W43">
        <f t="shared" si="6"/>
        <v>-0.32484495839984828</v>
      </c>
      <c r="X43">
        <f t="shared" si="7"/>
        <v>-0.54645663010594314</v>
      </c>
      <c r="Y43">
        <f t="shared" si="8"/>
        <v>201.05920658406845</v>
      </c>
      <c r="Z43">
        <f t="shared" si="9"/>
        <v>11.725868014818264</v>
      </c>
      <c r="AA43">
        <f t="shared" si="10"/>
        <v>11.725868014818264</v>
      </c>
    </row>
    <row r="44" spans="1:27" x14ac:dyDescent="0.3">
      <c r="A44">
        <v>0.38119633333333303</v>
      </c>
      <c r="B44">
        <v>0.533333533333333</v>
      </c>
      <c r="C44">
        <v>0.67350480000000001</v>
      </c>
      <c r="D44">
        <v>-1.3640000000000001</v>
      </c>
      <c r="E44">
        <v>2.2546666666666701</v>
      </c>
      <c r="F44">
        <v>2.4780000000000002</v>
      </c>
      <c r="G44">
        <v>2.4837246E-2</v>
      </c>
      <c r="H44">
        <v>1.7887334666666699E-2</v>
      </c>
      <c r="I44">
        <v>1.0839868000000001E-2</v>
      </c>
      <c r="J44">
        <v>-99</v>
      </c>
      <c r="K44">
        <v>-333</v>
      </c>
      <c r="L44">
        <v>460.8</v>
      </c>
      <c r="M44">
        <v>-1580</v>
      </c>
      <c r="N44">
        <v>-5225</v>
      </c>
      <c r="O44">
        <v>7247</v>
      </c>
      <c r="P44">
        <v>3</v>
      </c>
      <c r="Q44">
        <f t="shared" si="0"/>
        <v>-30.073491225467794</v>
      </c>
      <c r="R44">
        <f t="shared" si="1"/>
        <v>0.23751253180618992</v>
      </c>
      <c r="S44">
        <f t="shared" si="2"/>
        <v>49.152000000000001</v>
      </c>
      <c r="T44">
        <f t="shared" si="3"/>
        <v>2.8949254004243656E-3</v>
      </c>
      <c r="U44">
        <f t="shared" si="4"/>
        <v>-0.34834784564295623</v>
      </c>
      <c r="V44">
        <f t="shared" si="5"/>
        <v>0.2245016</v>
      </c>
      <c r="W44">
        <f t="shared" si="6"/>
        <v>-0.12095132024253188</v>
      </c>
      <c r="X44">
        <f t="shared" si="7"/>
        <v>-0.68182575198019613</v>
      </c>
      <c r="Y44">
        <f t="shared" si="8"/>
        <v>218.93830600761865</v>
      </c>
      <c r="Z44">
        <f t="shared" si="9"/>
        <v>11.037783249651675</v>
      </c>
      <c r="AA44">
        <f t="shared" si="10"/>
        <v>11.037783249651675</v>
      </c>
    </row>
    <row r="45" spans="1:27" x14ac:dyDescent="0.3">
      <c r="A45">
        <v>0.35384579999999999</v>
      </c>
      <c r="B45">
        <v>0.37264926666666698</v>
      </c>
      <c r="C45">
        <v>0.46324786666666701</v>
      </c>
      <c r="D45">
        <v>8.7693333333333303</v>
      </c>
      <c r="E45">
        <v>3.0880000000000001</v>
      </c>
      <c r="F45">
        <v>1.69533333333333</v>
      </c>
      <c r="G45">
        <v>6.9417300000000001E-3</v>
      </c>
      <c r="H45">
        <v>-1.06770658E-2</v>
      </c>
      <c r="I45">
        <v>1.7399059933333301E-2</v>
      </c>
      <c r="J45">
        <v>-102.6</v>
      </c>
      <c r="K45">
        <v>-333</v>
      </c>
      <c r="L45">
        <v>469.8</v>
      </c>
      <c r="M45">
        <v>-1770</v>
      </c>
      <c r="N45">
        <v>-5897</v>
      </c>
      <c r="O45">
        <v>8092</v>
      </c>
      <c r="P45">
        <v>3</v>
      </c>
      <c r="Q45">
        <f t="shared" si="0"/>
        <v>-31.167072724575711</v>
      </c>
      <c r="R45">
        <f t="shared" si="1"/>
        <v>0.23751253180618992</v>
      </c>
      <c r="S45">
        <f t="shared" si="2"/>
        <v>50.112000000000002</v>
      </c>
      <c r="T45">
        <f t="shared" si="3"/>
        <v>2.6872168084516746E-3</v>
      </c>
      <c r="U45">
        <f t="shared" si="4"/>
        <v>-0.24339660102082655</v>
      </c>
      <c r="V45">
        <f t="shared" si="5"/>
        <v>0.15441595555555568</v>
      </c>
      <c r="W45">
        <f t="shared" si="6"/>
        <v>-8.6293428656819188E-2</v>
      </c>
      <c r="X45">
        <f t="shared" si="7"/>
        <v>-0.97582517919330702</v>
      </c>
      <c r="Y45">
        <f t="shared" si="8"/>
        <v>324.52604926549014</v>
      </c>
      <c r="Z45">
        <f t="shared" si="9"/>
        <v>10.979003609011013</v>
      </c>
      <c r="AA45">
        <f t="shared" si="10"/>
        <v>10.979003609011013</v>
      </c>
    </row>
    <row r="46" spans="1:27" x14ac:dyDescent="0.3">
      <c r="A46">
        <v>0.2427348</v>
      </c>
      <c r="B46">
        <v>0.37948680000000001</v>
      </c>
      <c r="C46">
        <v>0.55042746666666698</v>
      </c>
      <c r="D46">
        <v>0.36</v>
      </c>
      <c r="E46">
        <v>1.2486666666666699</v>
      </c>
      <c r="F46">
        <v>1.2733333333333301</v>
      </c>
      <c r="G46">
        <v>5.2571566666666696E-3</v>
      </c>
      <c r="H46">
        <v>-2.0068364200000001E-2</v>
      </c>
      <c r="I46">
        <v>-1.9368490066666699E-2</v>
      </c>
      <c r="J46">
        <v>-111.6</v>
      </c>
      <c r="K46">
        <v>-338.4</v>
      </c>
      <c r="L46">
        <v>457.2</v>
      </c>
      <c r="M46">
        <v>-1842</v>
      </c>
      <c r="N46">
        <v>-5703</v>
      </c>
      <c r="O46">
        <v>7755</v>
      </c>
      <c r="P46">
        <v>3</v>
      </c>
      <c r="Q46">
        <f t="shared" si="0"/>
        <v>-33.901026472345507</v>
      </c>
      <c r="R46">
        <f t="shared" si="1"/>
        <v>0.24136408637602</v>
      </c>
      <c r="S46">
        <f t="shared" si="2"/>
        <v>48.768000000000001</v>
      </c>
      <c r="T46">
        <f t="shared" si="3"/>
        <v>1.8434047671504242E-3</v>
      </c>
      <c r="U46">
        <f t="shared" si="4"/>
        <v>-0.24786254935768054</v>
      </c>
      <c r="V46">
        <f t="shared" si="5"/>
        <v>0.18347582222222233</v>
      </c>
      <c r="W46">
        <f t="shared" si="6"/>
        <v>-6.2543322368307785E-2</v>
      </c>
      <c r="X46">
        <f t="shared" si="7"/>
        <v>-0.97378198925775239</v>
      </c>
      <c r="Y46">
        <f t="shared" si="8"/>
        <v>265.80068920979215</v>
      </c>
      <c r="Z46">
        <f t="shared" si="9"/>
        <v>6.9400606461983507</v>
      </c>
      <c r="AA46">
        <f t="shared" si="10"/>
        <v>6.9400606461983507</v>
      </c>
    </row>
    <row r="47" spans="1:27" x14ac:dyDescent="0.3">
      <c r="A47">
        <v>0.28044849999999999</v>
      </c>
      <c r="B47">
        <v>0.18269214375000001</v>
      </c>
      <c r="C47">
        <v>0.43589725000000001</v>
      </c>
      <c r="D47">
        <v>1.326875</v>
      </c>
      <c r="E47">
        <v>0.65937500000000004</v>
      </c>
      <c r="F47">
        <v>16.791875000000001</v>
      </c>
      <c r="G47">
        <v>9.8724403749999995E-3</v>
      </c>
      <c r="H47">
        <v>2.5787336250000001E-2</v>
      </c>
      <c r="I47">
        <v>-6.9122433125E-3</v>
      </c>
      <c r="J47">
        <v>163.6875</v>
      </c>
      <c r="K47">
        <v>167.0625</v>
      </c>
      <c r="L47">
        <v>150.1875</v>
      </c>
      <c r="M47">
        <v>2733</v>
      </c>
      <c r="N47">
        <v>2901</v>
      </c>
      <c r="O47">
        <v>2575</v>
      </c>
      <c r="P47">
        <v>3</v>
      </c>
      <c r="Q47">
        <f t="shared" si="0"/>
        <v>49.723783787563235</v>
      </c>
      <c r="R47">
        <f t="shared" si="1"/>
        <v>-0.11915746950411893</v>
      </c>
      <c r="S47">
        <f t="shared" si="2"/>
        <v>16.02</v>
      </c>
      <c r="T47">
        <f t="shared" si="3"/>
        <v>2.1298145211983851E-3</v>
      </c>
      <c r="U47">
        <f t="shared" si="4"/>
        <v>-0.11932573279886111</v>
      </c>
      <c r="V47">
        <f t="shared" si="5"/>
        <v>0.14529908333333333</v>
      </c>
      <c r="W47">
        <f t="shared" si="6"/>
        <v>2.8103165055670606E-2</v>
      </c>
      <c r="X47">
        <f t="shared" si="7"/>
        <v>0.99858988257775205</v>
      </c>
      <c r="Y47">
        <f t="shared" si="8"/>
        <v>110.25534113830724</v>
      </c>
      <c r="Z47">
        <f t="shared" si="9"/>
        <v>115.56765958032543</v>
      </c>
      <c r="AA47">
        <f t="shared" si="10"/>
        <v>115.56765958032543</v>
      </c>
    </row>
    <row r="48" spans="1:27" x14ac:dyDescent="0.3">
      <c r="A48">
        <v>0.1025640375</v>
      </c>
      <c r="B48">
        <v>0.34134581250000001</v>
      </c>
      <c r="C48">
        <v>0.42948706250000002</v>
      </c>
      <c r="D48">
        <v>-8.2500000000000004E-2</v>
      </c>
      <c r="E48">
        <v>0.57499999999999996</v>
      </c>
      <c r="F48">
        <v>18.954999999999998</v>
      </c>
      <c r="G48">
        <v>8.0108669999999996E-3</v>
      </c>
      <c r="H48">
        <v>2.1438598749999999E-2</v>
      </c>
      <c r="I48">
        <v>-2.44135625E-4</v>
      </c>
      <c r="J48">
        <v>172.125</v>
      </c>
      <c r="K48">
        <v>158.625</v>
      </c>
      <c r="L48">
        <v>156.9375</v>
      </c>
      <c r="M48">
        <v>2996</v>
      </c>
      <c r="N48">
        <v>2763</v>
      </c>
      <c r="O48">
        <v>2617</v>
      </c>
      <c r="P48">
        <v>3</v>
      </c>
      <c r="Q48">
        <f t="shared" si="0"/>
        <v>52.286865426097421</v>
      </c>
      <c r="R48">
        <f t="shared" si="1"/>
        <v>-0.11313941548875939</v>
      </c>
      <c r="S48">
        <f t="shared" si="2"/>
        <v>16.739999999999998</v>
      </c>
      <c r="T48">
        <f t="shared" si="3"/>
        <v>7.7890370752646456E-4</v>
      </c>
      <c r="U48">
        <f t="shared" si="4"/>
        <v>-0.22295068840027854</v>
      </c>
      <c r="V48">
        <f t="shared" si="5"/>
        <v>0.14316235416666667</v>
      </c>
      <c r="W48">
        <f t="shared" si="6"/>
        <v>-7.9009430526085417E-2</v>
      </c>
      <c r="X48">
        <f t="shared" si="7"/>
        <v>0.50746385355685697</v>
      </c>
      <c r="Y48">
        <f t="shared" si="8"/>
        <v>116.93018110411649</v>
      </c>
      <c r="Z48">
        <f t="shared" si="9"/>
        <v>132.4021256169969</v>
      </c>
      <c r="AA48">
        <f t="shared" si="10"/>
        <v>132.4021256169969</v>
      </c>
    </row>
    <row r="49" spans="1:27" x14ac:dyDescent="0.3">
      <c r="A49">
        <v>0.12019223749999999</v>
      </c>
      <c r="B49">
        <v>0.27243562500000001</v>
      </c>
      <c r="C49">
        <v>0.28846131250000001</v>
      </c>
      <c r="D49">
        <v>1.0325</v>
      </c>
      <c r="E49">
        <v>-0.82874999999999999</v>
      </c>
      <c r="F49">
        <v>21.63625</v>
      </c>
      <c r="G49">
        <v>8.2397618750000004E-4</v>
      </c>
      <c r="H49">
        <v>2.0507823750000001E-2</v>
      </c>
      <c r="I49">
        <v>3.6468416875000001E-3</v>
      </c>
      <c r="J49">
        <v>175.5</v>
      </c>
      <c r="K49">
        <v>158.625</v>
      </c>
      <c r="L49">
        <v>165.375</v>
      </c>
      <c r="M49">
        <v>3270</v>
      </c>
      <c r="N49">
        <v>2992</v>
      </c>
      <c r="O49">
        <v>3012</v>
      </c>
      <c r="P49">
        <v>3</v>
      </c>
      <c r="Q49">
        <f t="shared" si="0"/>
        <v>53.312098081511088</v>
      </c>
      <c r="R49">
        <f t="shared" si="1"/>
        <v>-0.11313941548875939</v>
      </c>
      <c r="S49">
        <f t="shared" si="2"/>
        <v>17.64</v>
      </c>
      <c r="T49">
        <f t="shared" si="3"/>
        <v>9.1277782823878564E-4</v>
      </c>
      <c r="U49">
        <f t="shared" si="4"/>
        <v>-0.17794186398144296</v>
      </c>
      <c r="V49">
        <f t="shared" si="5"/>
        <v>9.6153770833333332E-2</v>
      </c>
      <c r="W49">
        <f t="shared" si="6"/>
        <v>-8.0875315319870841E-2</v>
      </c>
      <c r="X49">
        <f t="shared" si="7"/>
        <v>0.6358223576918266</v>
      </c>
      <c r="Y49">
        <f t="shared" si="8"/>
        <v>183.45614370731258</v>
      </c>
      <c r="Z49">
        <f t="shared" si="9"/>
        <v>225.01717626345476</v>
      </c>
      <c r="AA49">
        <f t="shared" si="10"/>
        <v>225.01717626345476</v>
      </c>
    </row>
    <row r="50" spans="1:27" x14ac:dyDescent="0.3">
      <c r="A50">
        <v>0.20879107142857101</v>
      </c>
      <c r="B50">
        <v>0.42857114285714298</v>
      </c>
      <c r="C50">
        <v>0.39194121428571399</v>
      </c>
      <c r="D50">
        <v>-0.21</v>
      </c>
      <c r="E50">
        <v>-1.07785714285714</v>
      </c>
      <c r="F50">
        <v>38.6907142857143</v>
      </c>
      <c r="G50">
        <v>1.51193164285714E-2</v>
      </c>
      <c r="H50">
        <v>3.9760178571428603E-3</v>
      </c>
      <c r="I50">
        <v>-4.4642885714285697E-3</v>
      </c>
      <c r="J50">
        <v>364.5</v>
      </c>
      <c r="K50">
        <v>335.57142857142901</v>
      </c>
      <c r="L50">
        <v>341.357142857143</v>
      </c>
      <c r="M50">
        <v>6076</v>
      </c>
      <c r="N50">
        <v>5789</v>
      </c>
      <c r="O50">
        <v>5840</v>
      </c>
      <c r="P50">
        <v>3</v>
      </c>
      <c r="Q50">
        <f t="shared" si="0"/>
        <v>110.72512678467689</v>
      </c>
      <c r="R50">
        <f t="shared" si="1"/>
        <v>-0.23934660541087122</v>
      </c>
      <c r="S50">
        <f t="shared" si="2"/>
        <v>36.411428571428587</v>
      </c>
      <c r="T50">
        <f t="shared" si="3"/>
        <v>1.5856253673139267E-3</v>
      </c>
      <c r="U50">
        <f t="shared" si="4"/>
        <v>-0.27992208437739113</v>
      </c>
      <c r="V50">
        <f t="shared" si="5"/>
        <v>0.13064707142857132</v>
      </c>
      <c r="W50">
        <f t="shared" si="6"/>
        <v>-0.14768938758150588</v>
      </c>
      <c r="X50">
        <f t="shared" si="7"/>
        <v>0.85504723910309255</v>
      </c>
      <c r="Y50">
        <f t="shared" si="8"/>
        <v>278.70068707461087</v>
      </c>
      <c r="Z50">
        <f t="shared" si="9"/>
        <v>296.14681647776297</v>
      </c>
      <c r="AA50">
        <f t="shared" si="10"/>
        <v>296.14681647776297</v>
      </c>
    </row>
    <row r="51" spans="1:27" x14ac:dyDescent="0.3">
      <c r="A51">
        <v>0.22893752142857099</v>
      </c>
      <c r="B51">
        <v>0.43956036428571399</v>
      </c>
      <c r="C51">
        <v>0.25824157142857102</v>
      </c>
      <c r="D51">
        <v>-0.12</v>
      </c>
      <c r="E51">
        <v>-1.71714285714286</v>
      </c>
      <c r="F51">
        <v>41.449285714285701</v>
      </c>
      <c r="G51">
        <v>-3.1215121428571401E-3</v>
      </c>
      <c r="H51">
        <v>2.8233067142857102E-2</v>
      </c>
      <c r="I51">
        <v>6.66155071428571E-3</v>
      </c>
      <c r="J51">
        <v>349.07142857142901</v>
      </c>
      <c r="K51">
        <v>329.78571428571399</v>
      </c>
      <c r="L51">
        <v>358.71428571428601</v>
      </c>
      <c r="M51">
        <v>5482</v>
      </c>
      <c r="N51">
        <v>5192</v>
      </c>
      <c r="O51">
        <v>5448</v>
      </c>
      <c r="P51">
        <v>3</v>
      </c>
      <c r="Q51">
        <f t="shared" si="0"/>
        <v>106.03834893135735</v>
      </c>
      <c r="R51">
        <f t="shared" si="1"/>
        <v>-0.23521993980033848</v>
      </c>
      <c r="S51">
        <f t="shared" si="2"/>
        <v>38.262857142857172</v>
      </c>
      <c r="T51">
        <f t="shared" si="3"/>
        <v>1.7386238742076957E-3</v>
      </c>
      <c r="U51">
        <f t="shared" si="4"/>
        <v>-0.28709971595440953</v>
      </c>
      <c r="V51">
        <f t="shared" si="5"/>
        <v>8.6080523809523676E-2</v>
      </c>
      <c r="W51">
        <f t="shared" si="6"/>
        <v>-0.19928056827067814</v>
      </c>
      <c r="X51">
        <f t="shared" si="7"/>
        <v>0.8192970132986499</v>
      </c>
      <c r="Y51">
        <f t="shared" si="8"/>
        <v>444.50074708564784</v>
      </c>
      <c r="Z51">
        <f t="shared" si="9"/>
        <v>481.51758237442186</v>
      </c>
      <c r="AA51">
        <f t="shared" si="10"/>
        <v>481.51758237442186</v>
      </c>
    </row>
    <row r="52" spans="1:27" x14ac:dyDescent="0.3">
      <c r="A52">
        <v>0.155677507142857</v>
      </c>
      <c r="B52">
        <v>0.46153850000000002</v>
      </c>
      <c r="C52">
        <v>0.50366292857142902</v>
      </c>
      <c r="D52">
        <v>1.20142857142857</v>
      </c>
      <c r="E52">
        <v>-1.24285714285714</v>
      </c>
      <c r="F52">
        <v>37.482857142857199</v>
      </c>
      <c r="G52">
        <v>-1.42822085714286E-2</v>
      </c>
      <c r="H52">
        <v>1.25558857142857E-3</v>
      </c>
      <c r="I52">
        <v>1.5537800714285699E-2</v>
      </c>
      <c r="J52">
        <v>356.78571428571399</v>
      </c>
      <c r="K52">
        <v>339.42857142857099</v>
      </c>
      <c r="L52">
        <v>337.5</v>
      </c>
      <c r="M52">
        <v>5418</v>
      </c>
      <c r="N52">
        <v>4971</v>
      </c>
      <c r="O52">
        <v>5002</v>
      </c>
      <c r="P52">
        <v>3</v>
      </c>
      <c r="Q52">
        <f t="shared" si="0"/>
        <v>108.38173785801698</v>
      </c>
      <c r="R52">
        <f t="shared" si="1"/>
        <v>-0.24209771581789213</v>
      </c>
      <c r="S52">
        <f t="shared" si="2"/>
        <v>36</v>
      </c>
      <c r="T52">
        <f t="shared" si="3"/>
        <v>1.1822641780463157E-3</v>
      </c>
      <c r="U52">
        <f t="shared" si="4"/>
        <v>-0.3014547784974862</v>
      </c>
      <c r="V52">
        <f t="shared" si="5"/>
        <v>0.167887642857143</v>
      </c>
      <c r="W52">
        <f t="shared" si="6"/>
        <v>-0.13238487146229691</v>
      </c>
      <c r="X52">
        <f t="shared" si="7"/>
        <v>0.80309795394373207</v>
      </c>
      <c r="Y52">
        <f t="shared" si="8"/>
        <v>214.4291228785236</v>
      </c>
      <c r="Z52">
        <f t="shared" si="9"/>
        <v>223.26156055899645</v>
      </c>
      <c r="AA52">
        <f t="shared" si="10"/>
        <v>223.26156055899645</v>
      </c>
    </row>
    <row r="53" spans="1:27" x14ac:dyDescent="0.3">
      <c r="A53">
        <v>0.39262793750000002</v>
      </c>
      <c r="B53">
        <v>0.32532063750000001</v>
      </c>
      <c r="C53">
        <v>0.41666669374999998</v>
      </c>
      <c r="D53">
        <v>-2.4006249999999998</v>
      </c>
      <c r="E53">
        <v>-5.0625</v>
      </c>
      <c r="F53">
        <v>80.590625000000003</v>
      </c>
      <c r="G53">
        <v>2.2109929375E-2</v>
      </c>
      <c r="H53">
        <v>-2.4810808125E-2</v>
      </c>
      <c r="I53">
        <v>-4.5028703125E-2</v>
      </c>
      <c r="J53">
        <v>735.75</v>
      </c>
      <c r="K53">
        <v>740.8125</v>
      </c>
      <c r="L53">
        <v>742.5</v>
      </c>
      <c r="M53">
        <v>14072</v>
      </c>
      <c r="N53">
        <v>14242</v>
      </c>
      <c r="O53">
        <v>14064</v>
      </c>
      <c r="P53">
        <v>3</v>
      </c>
      <c r="Q53">
        <f t="shared" si="0"/>
        <v>223.5007188801811</v>
      </c>
      <c r="R53">
        <f t="shared" si="1"/>
        <v>-0.52838514254856772</v>
      </c>
      <c r="S53">
        <f t="shared" si="2"/>
        <v>79.2</v>
      </c>
      <c r="T53">
        <f t="shared" si="3"/>
        <v>2.9817406144645878E-3</v>
      </c>
      <c r="U53">
        <f t="shared" si="4"/>
        <v>-0.21248381384916643</v>
      </c>
      <c r="V53">
        <f t="shared" si="5"/>
        <v>0.13888889791666667</v>
      </c>
      <c r="W53">
        <f t="shared" si="6"/>
        <v>-7.0613175318035154E-2</v>
      </c>
      <c r="X53">
        <f t="shared" si="7"/>
        <v>2.4867077307057692</v>
      </c>
      <c r="Y53">
        <f t="shared" si="8"/>
        <v>570.23996293440246</v>
      </c>
      <c r="Z53">
        <f t="shared" si="9"/>
        <v>580.25246228358992</v>
      </c>
      <c r="AA53">
        <f t="shared" si="10"/>
        <v>580.25246228358992</v>
      </c>
    </row>
    <row r="54" spans="1:27" x14ac:dyDescent="0.3">
      <c r="A54">
        <v>0.29647424999999999</v>
      </c>
      <c r="B54">
        <v>0.315704875</v>
      </c>
      <c r="C54">
        <v>0.30608962499999998</v>
      </c>
      <c r="D54">
        <v>-1.2662500000000001</v>
      </c>
      <c r="E54">
        <v>-6.2362500000000001</v>
      </c>
      <c r="F54">
        <v>85.165000000000006</v>
      </c>
      <c r="G54">
        <v>0.10060113750000001</v>
      </c>
      <c r="H54">
        <v>-1.49537E-2</v>
      </c>
      <c r="I54">
        <v>8.798222E-2</v>
      </c>
      <c r="J54">
        <v>745.875</v>
      </c>
      <c r="K54">
        <v>735.75</v>
      </c>
      <c r="L54">
        <v>750.9375</v>
      </c>
      <c r="M54">
        <v>13308</v>
      </c>
      <c r="N54">
        <v>13422</v>
      </c>
      <c r="O54">
        <v>13431</v>
      </c>
      <c r="P54">
        <v>3</v>
      </c>
      <c r="Q54">
        <f t="shared" si="0"/>
        <v>226.57641684642215</v>
      </c>
      <c r="R54">
        <f t="shared" si="1"/>
        <v>-0.52477431013935205</v>
      </c>
      <c r="S54">
        <f t="shared" si="2"/>
        <v>80.099999999999994</v>
      </c>
      <c r="T54">
        <f t="shared" si="3"/>
        <v>2.2515191302909456E-3</v>
      </c>
      <c r="U54">
        <f t="shared" si="4"/>
        <v>-0.20620325967108175</v>
      </c>
      <c r="V54">
        <f t="shared" si="5"/>
        <v>0.10202987499999999</v>
      </c>
      <c r="W54">
        <f t="shared" si="6"/>
        <v>-0.1019218655407908</v>
      </c>
      <c r="X54">
        <f t="shared" si="7"/>
        <v>2.5449370246446557</v>
      </c>
      <c r="Y54">
        <f t="shared" si="8"/>
        <v>785.06417850654032</v>
      </c>
      <c r="Z54">
        <f t="shared" si="9"/>
        <v>834.70650140461328</v>
      </c>
      <c r="AA54">
        <f t="shared" si="10"/>
        <v>834.70650140461328</v>
      </c>
    </row>
    <row r="55" spans="1:27" x14ac:dyDescent="0.3">
      <c r="A55">
        <v>0.27403832500000003</v>
      </c>
      <c r="B55">
        <v>0.21474345</v>
      </c>
      <c r="C55">
        <v>0.4166665625</v>
      </c>
      <c r="D55">
        <v>0.43874999999999997</v>
      </c>
      <c r="E55">
        <v>-3.671875</v>
      </c>
      <c r="F55">
        <v>82.479375000000005</v>
      </c>
      <c r="G55">
        <v>-2.0721415062500002E-2</v>
      </c>
      <c r="H55">
        <v>1.8463284937500001E-2</v>
      </c>
      <c r="I55">
        <v>4.6539818750000001E-3</v>
      </c>
      <c r="J55">
        <v>749.25</v>
      </c>
      <c r="K55">
        <v>750.9375</v>
      </c>
      <c r="L55">
        <v>745.875</v>
      </c>
      <c r="M55">
        <v>14770</v>
      </c>
      <c r="N55">
        <v>14829</v>
      </c>
      <c r="O55">
        <v>14554</v>
      </c>
      <c r="P55">
        <v>3</v>
      </c>
      <c r="Q55">
        <f t="shared" si="0"/>
        <v>227.60164950183579</v>
      </c>
      <c r="R55">
        <f t="shared" si="1"/>
        <v>-0.53560680736699928</v>
      </c>
      <c r="S55">
        <f t="shared" si="2"/>
        <v>79.56</v>
      </c>
      <c r="T55">
        <f t="shared" si="3"/>
        <v>2.0811336268508566E-3</v>
      </c>
      <c r="U55">
        <f t="shared" si="4"/>
        <v>-0.14026010647765247</v>
      </c>
      <c r="V55">
        <f t="shared" si="5"/>
        <v>0.13888885416666666</v>
      </c>
      <c r="W55">
        <f t="shared" si="6"/>
        <v>7.0988131586505188E-4</v>
      </c>
      <c r="X55">
        <f t="shared" si="7"/>
        <v>3.8186681930997755</v>
      </c>
      <c r="Y55">
        <f t="shared" si="8"/>
        <v>572.83214320803586</v>
      </c>
      <c r="Z55">
        <f t="shared" si="9"/>
        <v>593.85164846291218</v>
      </c>
      <c r="AA55">
        <f t="shared" si="10"/>
        <v>593.85164846291218</v>
      </c>
    </row>
    <row r="56" spans="1:27" x14ac:dyDescent="0.3">
      <c r="A56">
        <v>1.3650078235294101</v>
      </c>
      <c r="B56">
        <v>0</v>
      </c>
      <c r="C56">
        <v>1.02564123529412</v>
      </c>
      <c r="D56">
        <v>0.73117647058823498</v>
      </c>
      <c r="E56">
        <v>0.125882352941176</v>
      </c>
      <c r="F56">
        <v>0.495294117647059</v>
      </c>
      <c r="G56">
        <v>4.7248441176470602E-3</v>
      </c>
      <c r="H56">
        <v>-3.1307501764705902E-3</v>
      </c>
      <c r="I56">
        <v>-9.3635111764705896E-3</v>
      </c>
      <c r="J56">
        <v>-200.11764705882399</v>
      </c>
      <c r="K56">
        <v>0</v>
      </c>
      <c r="L56">
        <v>231.88235294117601</v>
      </c>
      <c r="M56">
        <v>-3592</v>
      </c>
      <c r="N56">
        <v>4</v>
      </c>
      <c r="O56">
        <v>4091</v>
      </c>
      <c r="P56">
        <v>4</v>
      </c>
      <c r="Q56">
        <f t="shared" si="0"/>
        <v>-60.790265685705094</v>
      </c>
      <c r="R56">
        <f t="shared" si="1"/>
        <v>0</v>
      </c>
      <c r="S56">
        <f t="shared" si="2"/>
        <v>24.734117647058778</v>
      </c>
      <c r="T56">
        <f t="shared" si="3"/>
        <v>1.0366300707981465E-2</v>
      </c>
      <c r="U56">
        <f t="shared" si="4"/>
        <v>0</v>
      </c>
      <c r="V56">
        <f t="shared" si="5"/>
        <v>0.34188041176470668</v>
      </c>
      <c r="W56">
        <f t="shared" si="6"/>
        <v>0.35224671247268813</v>
      </c>
      <c r="X56" t="e">
        <f t="shared" si="7"/>
        <v>#DIV/0!</v>
      </c>
      <c r="Y56">
        <f t="shared" si="8"/>
        <v>72.347279329011712</v>
      </c>
      <c r="Z56">
        <f t="shared" si="9"/>
        <v>1.4487349979791666</v>
      </c>
      <c r="AA56">
        <f t="shared" si="10"/>
        <v>1.4487349979791666</v>
      </c>
    </row>
    <row r="57" spans="1:27" x14ac:dyDescent="0.3">
      <c r="A57">
        <v>1.2488694117647099</v>
      </c>
      <c r="B57">
        <v>0</v>
      </c>
      <c r="C57">
        <v>1.0120665294117599</v>
      </c>
      <c r="D57">
        <v>0.63470588235294101</v>
      </c>
      <c r="E57">
        <v>5.82352941176471E-2</v>
      </c>
      <c r="F57">
        <v>0.55058823529411804</v>
      </c>
      <c r="G57" s="1">
        <v>-2.8731764705882099E-5</v>
      </c>
      <c r="H57">
        <v>2.2977866470588202E-3</v>
      </c>
      <c r="I57">
        <v>-3.4754117647058801E-3</v>
      </c>
      <c r="J57">
        <v>-220.76470588235301</v>
      </c>
      <c r="K57">
        <v>0</v>
      </c>
      <c r="L57">
        <v>228.70588235294099</v>
      </c>
      <c r="M57">
        <v>-4060</v>
      </c>
      <c r="N57">
        <v>5</v>
      </c>
      <c r="O57">
        <v>4438</v>
      </c>
      <c r="P57">
        <v>4</v>
      </c>
      <c r="Q57">
        <f t="shared" si="0"/>
        <v>-67.062277224706278</v>
      </c>
      <c r="R57">
        <f t="shared" si="1"/>
        <v>0</v>
      </c>
      <c r="S57">
        <f t="shared" si="2"/>
        <v>24.39529411764704</v>
      </c>
      <c r="T57">
        <f t="shared" si="3"/>
        <v>9.484308913247759E-3</v>
      </c>
      <c r="U57">
        <f t="shared" si="4"/>
        <v>0</v>
      </c>
      <c r="V57">
        <f t="shared" si="5"/>
        <v>0.33735550980391998</v>
      </c>
      <c r="W57">
        <f t="shared" si="6"/>
        <v>0.34683981871716774</v>
      </c>
      <c r="X57" t="e">
        <f t="shared" si="7"/>
        <v>#DIV/0!</v>
      </c>
      <c r="Y57">
        <f t="shared" si="8"/>
        <v>72.313311651042056</v>
      </c>
      <c r="Z57">
        <f t="shared" si="9"/>
        <v>1.6320712699019932</v>
      </c>
      <c r="AA57">
        <f t="shared" si="10"/>
        <v>1.6320712699019932</v>
      </c>
    </row>
    <row r="58" spans="1:27" x14ac:dyDescent="0.3">
      <c r="A58">
        <v>1.18401223529412</v>
      </c>
      <c r="B58">
        <v>0</v>
      </c>
      <c r="C58">
        <v>1.03167458823529</v>
      </c>
      <c r="D58">
        <v>0.91352941176470603</v>
      </c>
      <c r="E58">
        <v>0.13764705882352901</v>
      </c>
      <c r="F58">
        <v>0.52352941176470602</v>
      </c>
      <c r="G58">
        <v>-1.59409411764706E-3</v>
      </c>
      <c r="H58">
        <v>9.2773494117647098E-3</v>
      </c>
      <c r="I58">
        <v>1.0627270588235301E-3</v>
      </c>
      <c r="J58">
        <v>-227.11764705882399</v>
      </c>
      <c r="K58">
        <v>0</v>
      </c>
      <c r="L58">
        <v>230.29411764705901</v>
      </c>
      <c r="M58">
        <v>-4050</v>
      </c>
      <c r="N58">
        <v>2</v>
      </c>
      <c r="O58">
        <v>4322</v>
      </c>
      <c r="P58">
        <v>4</v>
      </c>
      <c r="Q58">
        <f t="shared" si="0"/>
        <v>-68.992126929014489</v>
      </c>
      <c r="R58">
        <f t="shared" si="1"/>
        <v>0</v>
      </c>
      <c r="S58">
        <f t="shared" si="2"/>
        <v>24.56470588235296</v>
      </c>
      <c r="T58">
        <f t="shared" si="3"/>
        <v>8.9917630224657149E-3</v>
      </c>
      <c r="U58">
        <f t="shared" si="4"/>
        <v>0</v>
      </c>
      <c r="V58">
        <f t="shared" si="5"/>
        <v>0.34389152941176332</v>
      </c>
      <c r="W58">
        <f t="shared" si="6"/>
        <v>0.35288329243422906</v>
      </c>
      <c r="X58" t="e">
        <f t="shared" si="7"/>
        <v>#DIV/0!</v>
      </c>
      <c r="Y58">
        <f t="shared" si="8"/>
        <v>71.431552630480951</v>
      </c>
      <c r="Z58">
        <f t="shared" si="9"/>
        <v>1.5223678601802686</v>
      </c>
      <c r="AA58">
        <f t="shared" si="10"/>
        <v>1.5223678601802686</v>
      </c>
    </row>
    <row r="59" spans="1:27" x14ac:dyDescent="0.3">
      <c r="A59">
        <v>1.0307691999999999</v>
      </c>
      <c r="B59">
        <v>1.535042</v>
      </c>
      <c r="C59">
        <v>1.0136750000000001</v>
      </c>
      <c r="D59">
        <v>0.89400000000000002</v>
      </c>
      <c r="E59">
        <v>4.6666666666666697E-2</v>
      </c>
      <c r="F59">
        <v>2.9706666666666699</v>
      </c>
      <c r="G59">
        <v>5.2734319333333302E-3</v>
      </c>
      <c r="H59">
        <v>5.2083599999999902E-4</v>
      </c>
      <c r="I59">
        <v>-9.7493466666666705E-3</v>
      </c>
      <c r="J59">
        <v>91.8</v>
      </c>
      <c r="K59">
        <v>-246.6</v>
      </c>
      <c r="L59">
        <v>100.8</v>
      </c>
      <c r="M59">
        <v>1870</v>
      </c>
      <c r="N59">
        <v>-4878</v>
      </c>
      <c r="O59">
        <v>1986</v>
      </c>
      <c r="P59">
        <v>4</v>
      </c>
      <c r="Q59">
        <f t="shared" si="0"/>
        <v>27.886328227251951</v>
      </c>
      <c r="R59">
        <f t="shared" si="1"/>
        <v>0.17588765868890821</v>
      </c>
      <c r="S59">
        <f t="shared" si="2"/>
        <v>10.752000000000001</v>
      </c>
      <c r="T59">
        <f t="shared" si="3"/>
        <v>7.8279869928491053E-3</v>
      </c>
      <c r="U59">
        <f t="shared" si="4"/>
        <v>-1.0026156996530911</v>
      </c>
      <c r="V59">
        <f t="shared" si="5"/>
        <v>0.3378916666666667</v>
      </c>
      <c r="W59">
        <f t="shared" si="6"/>
        <v>-0.65689604599357521</v>
      </c>
      <c r="X59">
        <f t="shared" si="7"/>
        <v>-0.17542878966464023</v>
      </c>
      <c r="Y59">
        <f t="shared" si="8"/>
        <v>31.82084987791945</v>
      </c>
      <c r="Z59">
        <f t="shared" si="9"/>
        <v>8.7917725109132689</v>
      </c>
      <c r="AA59">
        <f t="shared" si="10"/>
        <v>8.7917725109132689</v>
      </c>
    </row>
    <row r="60" spans="1:27" x14ac:dyDescent="0.3">
      <c r="A60">
        <v>1.0717949333333301</v>
      </c>
      <c r="B60">
        <v>1.388036</v>
      </c>
      <c r="C60">
        <v>1.16068446666667</v>
      </c>
      <c r="D60">
        <v>0.40400000000000003</v>
      </c>
      <c r="E60">
        <v>-0.37933333333333302</v>
      </c>
      <c r="F60">
        <v>4.5286666666666697</v>
      </c>
      <c r="G60">
        <v>1.34277339333333E-2</v>
      </c>
      <c r="H60">
        <v>2.8971333333333302E-3</v>
      </c>
      <c r="I60">
        <v>-1.6276086E-3</v>
      </c>
      <c r="J60">
        <v>95.4</v>
      </c>
      <c r="K60">
        <v>-244.8</v>
      </c>
      <c r="L60">
        <v>90</v>
      </c>
      <c r="M60">
        <v>1630</v>
      </c>
      <c r="N60">
        <v>-4250</v>
      </c>
      <c r="O60">
        <v>1542</v>
      </c>
      <c r="P60">
        <v>4</v>
      </c>
      <c r="Q60">
        <f t="shared" si="0"/>
        <v>28.979909726359878</v>
      </c>
      <c r="R60">
        <f t="shared" si="1"/>
        <v>0.17460380716563151</v>
      </c>
      <c r="S60">
        <f t="shared" si="2"/>
        <v>9.6</v>
      </c>
      <c r="T60">
        <f t="shared" si="3"/>
        <v>8.1395493745203898E-3</v>
      </c>
      <c r="U60">
        <f t="shared" si="4"/>
        <v>-0.9065984417909595</v>
      </c>
      <c r="V60">
        <f t="shared" si="5"/>
        <v>0.38689482222222332</v>
      </c>
      <c r="W60">
        <f t="shared" si="6"/>
        <v>-0.51156407019421568</v>
      </c>
      <c r="X60">
        <f t="shared" si="7"/>
        <v>-0.19259222067567935</v>
      </c>
      <c r="Y60">
        <f t="shared" si="8"/>
        <v>24.812945143230642</v>
      </c>
      <c r="Z60">
        <f t="shared" si="9"/>
        <v>11.705162247080965</v>
      </c>
      <c r="AA60">
        <f t="shared" si="10"/>
        <v>11.705162247080965</v>
      </c>
    </row>
    <row r="61" spans="1:27" x14ac:dyDescent="0.3">
      <c r="A61">
        <v>1.04273453333333</v>
      </c>
      <c r="B61">
        <v>1.4905980000000001</v>
      </c>
      <c r="C61">
        <v>1.07863286666667</v>
      </c>
      <c r="D61">
        <v>0.710666666666667</v>
      </c>
      <c r="E61">
        <v>-0.174666666</v>
      </c>
      <c r="F61">
        <v>4.2</v>
      </c>
      <c r="G61">
        <v>4.0039100666666699E-3</v>
      </c>
      <c r="H61">
        <v>5.6477953333333303E-3</v>
      </c>
      <c r="I61">
        <v>-1.30371146666667E-2</v>
      </c>
      <c r="J61">
        <v>84.6</v>
      </c>
      <c r="K61">
        <v>-230.4</v>
      </c>
      <c r="L61">
        <v>97.2</v>
      </c>
      <c r="M61">
        <v>1755</v>
      </c>
      <c r="N61">
        <v>-4525</v>
      </c>
      <c r="O61">
        <v>1770</v>
      </c>
      <c r="P61">
        <v>4</v>
      </c>
      <c r="Q61">
        <f t="shared" si="0"/>
        <v>25.699165229036112</v>
      </c>
      <c r="R61">
        <f t="shared" si="1"/>
        <v>0.16433299497941789</v>
      </c>
      <c r="S61">
        <f t="shared" si="2"/>
        <v>10.368</v>
      </c>
      <c r="T61">
        <f t="shared" si="3"/>
        <v>7.9188555148212506E-3</v>
      </c>
      <c r="U61">
        <f t="shared" si="4"/>
        <v>-0.97358701369180678</v>
      </c>
      <c r="V61">
        <f t="shared" si="5"/>
        <v>0.35954428888889001</v>
      </c>
      <c r="W61">
        <f t="shared" si="6"/>
        <v>-0.60612386928809547</v>
      </c>
      <c r="X61">
        <f t="shared" si="7"/>
        <v>-0.16879127665874785</v>
      </c>
      <c r="Y61">
        <f t="shared" si="8"/>
        <v>28.836503096852205</v>
      </c>
      <c r="Z61">
        <f t="shared" si="9"/>
        <v>11.681453800808185</v>
      </c>
      <c r="AA61">
        <f t="shared" si="10"/>
        <v>11.681453800808185</v>
      </c>
    </row>
    <row r="62" spans="1:27" x14ac:dyDescent="0.3">
      <c r="A62">
        <v>0.93514352941176504</v>
      </c>
      <c r="B62">
        <v>1.43288117647059</v>
      </c>
      <c r="C62">
        <v>1.22322941176471</v>
      </c>
      <c r="D62">
        <v>0.80941176470588205</v>
      </c>
      <c r="E62">
        <v>0.29352941176470598</v>
      </c>
      <c r="F62">
        <v>-0.55647058823529405</v>
      </c>
      <c r="G62">
        <v>-1.17187476470588E-2</v>
      </c>
      <c r="H62">
        <v>-3.04027045882353E-2</v>
      </c>
      <c r="I62">
        <v>-3.4036049999999998E-2</v>
      </c>
      <c r="J62">
        <v>-54</v>
      </c>
      <c r="K62">
        <v>-238.23529411764699</v>
      </c>
      <c r="L62">
        <v>408.17647058823502</v>
      </c>
      <c r="M62">
        <v>-987</v>
      </c>
      <c r="N62">
        <v>-4523</v>
      </c>
      <c r="O62">
        <v>7451</v>
      </c>
      <c r="P62">
        <v>4</v>
      </c>
      <c r="Q62">
        <f t="shared" si="0"/>
        <v>-16.403722486618797</v>
      </c>
      <c r="R62">
        <f t="shared" si="1"/>
        <v>0.16992152513956349</v>
      </c>
      <c r="S62">
        <f t="shared" si="2"/>
        <v>43.538823529411737</v>
      </c>
      <c r="T62">
        <f t="shared" si="3"/>
        <v>7.1017754359388131E-3</v>
      </c>
      <c r="U62">
        <f t="shared" si="4"/>
        <v>-0.93588915695258168</v>
      </c>
      <c r="V62">
        <f t="shared" si="5"/>
        <v>0.40774313725490335</v>
      </c>
      <c r="W62">
        <f t="shared" si="6"/>
        <v>-0.52104424426173956</v>
      </c>
      <c r="X62">
        <f t="shared" si="7"/>
        <v>-0.181561591858653</v>
      </c>
      <c r="Y62">
        <f t="shared" si="8"/>
        <v>106.7800277952763</v>
      </c>
      <c r="Z62">
        <f t="shared" si="9"/>
        <v>-1.3647577050142055</v>
      </c>
      <c r="AA62">
        <f t="shared" si="10"/>
        <v>-1.3647577050142055</v>
      </c>
    </row>
    <row r="63" spans="1:27" x14ac:dyDescent="0.3">
      <c r="A63">
        <v>1.05882347058824</v>
      </c>
      <c r="B63">
        <v>1.5610852941176501</v>
      </c>
      <c r="C63">
        <v>1.0211148823529399</v>
      </c>
      <c r="D63">
        <v>0.97647058823529398</v>
      </c>
      <c r="E63">
        <v>0.28529411705882401</v>
      </c>
      <c r="F63">
        <v>-1.8394117647058801</v>
      </c>
      <c r="G63">
        <v>6.4624058823529399E-4</v>
      </c>
      <c r="H63">
        <v>-9.7225529411764707E-3</v>
      </c>
      <c r="I63">
        <v>-8.5018423529411805E-3</v>
      </c>
      <c r="J63">
        <v>-44.470588235294102</v>
      </c>
      <c r="K63">
        <v>-243</v>
      </c>
      <c r="L63">
        <v>417.70588235294099</v>
      </c>
      <c r="M63">
        <v>-785</v>
      </c>
      <c r="N63">
        <v>-4479</v>
      </c>
      <c r="O63">
        <v>7617</v>
      </c>
      <c r="P63">
        <v>4</v>
      </c>
      <c r="Q63">
        <f t="shared" si="0"/>
        <v>-13.508947930156651</v>
      </c>
      <c r="R63">
        <f t="shared" si="1"/>
        <v>0.17331995564235481</v>
      </c>
      <c r="S63">
        <f t="shared" si="2"/>
        <v>44.555294117647037</v>
      </c>
      <c r="T63">
        <f t="shared" si="3"/>
        <v>8.0410399878926252E-3</v>
      </c>
      <c r="U63">
        <f t="shared" si="4"/>
        <v>-1.0196259283979978</v>
      </c>
      <c r="V63">
        <f t="shared" si="5"/>
        <v>0.34037162745097999</v>
      </c>
      <c r="W63">
        <f t="shared" si="6"/>
        <v>-0.67121326095912526</v>
      </c>
      <c r="X63">
        <f t="shared" si="7"/>
        <v>-0.16998386448907721</v>
      </c>
      <c r="Y63">
        <f t="shared" si="8"/>
        <v>130.90190404916711</v>
      </c>
      <c r="Z63">
        <f t="shared" si="9"/>
        <v>-5.404127771991778</v>
      </c>
      <c r="AA63">
        <f t="shared" si="10"/>
        <v>-5.404127771991778</v>
      </c>
    </row>
    <row r="64" spans="1:27" x14ac:dyDescent="0.3">
      <c r="A64">
        <v>1.0316747647058799</v>
      </c>
      <c r="B64">
        <v>1.49924647058824</v>
      </c>
      <c r="C64">
        <v>0.97435829411764696</v>
      </c>
      <c r="D64">
        <v>1.03764705882353</v>
      </c>
      <c r="E64">
        <v>0.21823529352941201</v>
      </c>
      <c r="F64">
        <v>-1.26529411764706</v>
      </c>
      <c r="G64">
        <v>-4.6673962941176502E-3</v>
      </c>
      <c r="H64">
        <v>-4.8397217647058802E-3</v>
      </c>
      <c r="I64">
        <v>-4.8684594117647103E-3</v>
      </c>
      <c r="J64">
        <v>-44.470588235294102</v>
      </c>
      <c r="K64">
        <v>-247.76470588235301</v>
      </c>
      <c r="L64">
        <v>408.17647058823502</v>
      </c>
      <c r="M64">
        <v>-831</v>
      </c>
      <c r="N64">
        <v>-4752</v>
      </c>
      <c r="O64">
        <v>7952</v>
      </c>
      <c r="P64">
        <v>4</v>
      </c>
      <c r="Q64">
        <f t="shared" si="0"/>
        <v>-13.508947930156651</v>
      </c>
      <c r="R64">
        <f t="shared" si="1"/>
        <v>0.17671838614514612</v>
      </c>
      <c r="S64">
        <f t="shared" si="2"/>
        <v>43.538823529411737</v>
      </c>
      <c r="T64">
        <f t="shared" si="3"/>
        <v>7.8348641373532403E-3</v>
      </c>
      <c r="U64">
        <f t="shared" si="4"/>
        <v>-0.9792357792563694</v>
      </c>
      <c r="V64">
        <f t="shared" si="5"/>
        <v>0.32478609803921565</v>
      </c>
      <c r="W64">
        <f t="shared" si="6"/>
        <v>-0.64661481707980051</v>
      </c>
      <c r="X64">
        <f t="shared" si="7"/>
        <v>-0.1804656139906835</v>
      </c>
      <c r="Y64">
        <f t="shared" si="8"/>
        <v>134.05383971870228</v>
      </c>
      <c r="Z64">
        <f t="shared" si="9"/>
        <v>-3.8957767136150161</v>
      </c>
      <c r="AA64">
        <f t="shared" si="10"/>
        <v>-3.8957767136150161</v>
      </c>
    </row>
    <row r="65" spans="1:27" x14ac:dyDescent="0.3">
      <c r="A65">
        <v>0.84935893750000002</v>
      </c>
      <c r="B65">
        <v>1.048078125</v>
      </c>
      <c r="C65">
        <v>1.0865389375000001</v>
      </c>
      <c r="D65">
        <v>-0.21312500000000001</v>
      </c>
      <c r="E65">
        <v>0.93562500000000004</v>
      </c>
      <c r="F65">
        <v>7.7937500000000002</v>
      </c>
      <c r="G65">
        <v>-1.678468E-3</v>
      </c>
      <c r="H65">
        <v>-3.5202049812499997E-2</v>
      </c>
      <c r="I65">
        <v>-2.3025507000000001E-2</v>
      </c>
      <c r="J65">
        <v>109.6875</v>
      </c>
      <c r="K65">
        <v>101.25</v>
      </c>
      <c r="L65">
        <v>96.1875</v>
      </c>
      <c r="M65">
        <v>1938</v>
      </c>
      <c r="N65">
        <v>1719</v>
      </c>
      <c r="O65">
        <v>1671</v>
      </c>
      <c r="P65">
        <v>4</v>
      </c>
      <c r="Q65">
        <f t="shared" si="0"/>
        <v>33.320061300944431</v>
      </c>
      <c r="R65">
        <f t="shared" si="1"/>
        <v>-7.2216648184314503E-2</v>
      </c>
      <c r="S65">
        <f t="shared" si="2"/>
        <v>10.26</v>
      </c>
      <c r="T65">
        <f t="shared" si="3"/>
        <v>6.4503001399441665E-3</v>
      </c>
      <c r="U65">
        <f t="shared" si="4"/>
        <v>-0.6845542874970032</v>
      </c>
      <c r="V65">
        <f t="shared" si="5"/>
        <v>0.36217964583333334</v>
      </c>
      <c r="W65">
        <f t="shared" si="6"/>
        <v>-0.31592434152372567</v>
      </c>
      <c r="X65">
        <f t="shared" si="7"/>
        <v>0.10549440636529597</v>
      </c>
      <c r="Y65">
        <f t="shared" si="8"/>
        <v>28.328483165841444</v>
      </c>
      <c r="Z65">
        <f t="shared" si="9"/>
        <v>21.519017122200463</v>
      </c>
      <c r="AA65">
        <f t="shared" si="10"/>
        <v>21.519017122200463</v>
      </c>
    </row>
    <row r="66" spans="1:27" x14ac:dyDescent="0.3">
      <c r="A66">
        <v>0.91506399999999999</v>
      </c>
      <c r="B66">
        <v>1.1506401875000001</v>
      </c>
      <c r="C66">
        <v>0.99839843750000001</v>
      </c>
      <c r="D66">
        <v>-0.43375000000000002</v>
      </c>
      <c r="E66">
        <v>0.64812499999999995</v>
      </c>
      <c r="F66">
        <v>10.251875</v>
      </c>
      <c r="G66">
        <v>3.9978006874999998E-3</v>
      </c>
      <c r="H66">
        <v>-2.9159535625E-2</v>
      </c>
      <c r="I66">
        <v>-1.899717875E-2</v>
      </c>
      <c r="J66">
        <v>106.3125</v>
      </c>
      <c r="K66">
        <v>92.8125</v>
      </c>
      <c r="L66">
        <v>99.5625</v>
      </c>
      <c r="M66">
        <v>1911</v>
      </c>
      <c r="N66">
        <v>1619</v>
      </c>
      <c r="O66">
        <v>1844</v>
      </c>
      <c r="P66">
        <v>4</v>
      </c>
      <c r="Q66">
        <f t="shared" si="0"/>
        <v>32.294828645530757</v>
      </c>
      <c r="R66">
        <f t="shared" si="1"/>
        <v>-6.6198594168954961E-2</v>
      </c>
      <c r="S66">
        <f t="shared" si="2"/>
        <v>10.62</v>
      </c>
      <c r="T66">
        <f t="shared" si="3"/>
        <v>6.9492851451367329E-3</v>
      </c>
      <c r="U66">
        <f t="shared" si="4"/>
        <v>-0.75154290021984838</v>
      </c>
      <c r="V66">
        <f t="shared" si="5"/>
        <v>0.33279947916666669</v>
      </c>
      <c r="W66">
        <f t="shared" si="6"/>
        <v>-0.41179413590804498</v>
      </c>
      <c r="X66">
        <f t="shared" si="7"/>
        <v>8.8083586645007123E-2</v>
      </c>
      <c r="Y66">
        <f t="shared" si="8"/>
        <v>31.911107633318984</v>
      </c>
      <c r="Z66">
        <f t="shared" si="9"/>
        <v>30.804961070464415</v>
      </c>
      <c r="AA66">
        <f t="shared" si="10"/>
        <v>30.804961070464415</v>
      </c>
    </row>
    <row r="67" spans="1:27" x14ac:dyDescent="0.3">
      <c r="A67">
        <v>0.91185831250000005</v>
      </c>
      <c r="B67">
        <v>1.0913457499999999</v>
      </c>
      <c r="C67">
        <v>0.90544849999999999</v>
      </c>
      <c r="D67">
        <v>-0.35749999999999998</v>
      </c>
      <c r="E67">
        <v>0.57062500000000005</v>
      </c>
      <c r="F67">
        <v>10.2125</v>
      </c>
      <c r="G67">
        <v>9.9182099999999994E-4</v>
      </c>
      <c r="H67">
        <v>-2.5894175500000002E-2</v>
      </c>
      <c r="I67">
        <v>-1.1947636312499999E-2</v>
      </c>
      <c r="J67">
        <v>109.6875</v>
      </c>
      <c r="K67">
        <v>87.75</v>
      </c>
      <c r="L67">
        <v>116.4375</v>
      </c>
      <c r="M67">
        <v>1943</v>
      </c>
      <c r="N67">
        <v>1645</v>
      </c>
      <c r="O67">
        <v>1953</v>
      </c>
      <c r="P67">
        <v>4</v>
      </c>
      <c r="Q67">
        <f t="shared" ref="Q67:Q130" si="11">((-2/3)*COS(-30*3.1415/180)+(2/3)*SIN(0*3.1415/180)+(2/3)*COS(30*3.1415*180))*J67*40</f>
        <v>33.320061300944431</v>
      </c>
      <c r="R67">
        <f t="shared" ref="R67:R130" si="12">((-2/3)*SIN(-30*3.1415/180)-((2/3)*COS(0*3.1415/180))+(2/3)*SIN(30*3.1415/180))*K67*40</f>
        <v>-6.2587761759739236E-2</v>
      </c>
      <c r="S67">
        <f t="shared" ref="S67:S130" si="13">(40*L67)/(3*125)</f>
        <v>12.42</v>
      </c>
      <c r="T67">
        <f t="shared" ref="T67:T130" si="14">((-2/3)*COS(-30*3.1415/180)+(2/3)*SIN(0*3.1415/180)+(2/3)*COS(30*3.1415*180))*A67</f>
        <v>6.9249401413733896E-3</v>
      </c>
      <c r="U67">
        <f t="shared" ref="U67:U130" si="15">((-2/3)*SIN(-30*3.1415/180)+(-2/3)*COS(0*3.1415/180)+(2/3)*SIN(30*3.1415*180))*B67</f>
        <v>-0.71281462181469779</v>
      </c>
      <c r="V67">
        <f t="shared" ref="V67:V130" si="16">C67/3</f>
        <v>0.30181616666666666</v>
      </c>
      <c r="W67">
        <f t="shared" ref="W67:W130" si="17">SUM(T67:V67)</f>
        <v>-0.40407351500665778</v>
      </c>
      <c r="X67">
        <f t="shared" ref="X67:X130" si="18">R67/U67</f>
        <v>8.7803700772021279E-2</v>
      </c>
      <c r="Y67">
        <f t="shared" ref="Y67:Y130" si="19">S67/V67</f>
        <v>41.15087716198105</v>
      </c>
      <c r="Z67">
        <f t="shared" ref="Z67:Z130" si="20">F67/V67</f>
        <v>33.836822304084663</v>
      </c>
      <c r="AA67">
        <f t="shared" ref="AA67:AA130" si="21">F67/V67</f>
        <v>33.836822304084663</v>
      </c>
    </row>
    <row r="68" spans="1:27" x14ac:dyDescent="0.3">
      <c r="A68">
        <v>0.92649599999999999</v>
      </c>
      <c r="B68">
        <v>1.19829186666667</v>
      </c>
      <c r="C68">
        <v>0.89572680000000005</v>
      </c>
      <c r="D68">
        <v>0.46133333333333298</v>
      </c>
      <c r="E68">
        <v>-0.74733333333333296</v>
      </c>
      <c r="F68">
        <v>25.302666666666699</v>
      </c>
      <c r="G68">
        <v>4.8665399999999999E-3</v>
      </c>
      <c r="H68">
        <v>-1.158852E-2</v>
      </c>
      <c r="I68">
        <v>5.3710293333333295E-4</v>
      </c>
      <c r="J68">
        <v>293.39999999999998</v>
      </c>
      <c r="K68">
        <v>275.39999999999998</v>
      </c>
      <c r="L68">
        <v>311.39999999999998</v>
      </c>
      <c r="M68">
        <v>4667</v>
      </c>
      <c r="N68">
        <v>4350</v>
      </c>
      <c r="O68">
        <v>4753</v>
      </c>
      <c r="P68">
        <v>4</v>
      </c>
      <c r="Q68">
        <f t="shared" si="11"/>
        <v>89.126892177295446</v>
      </c>
      <c r="R68">
        <f t="shared" si="12"/>
        <v>-0.19642928306133542</v>
      </c>
      <c r="S68">
        <f t="shared" si="13"/>
        <v>33.216000000000001</v>
      </c>
      <c r="T68">
        <f t="shared" si="14"/>
        <v>7.036103365260356E-3</v>
      </c>
      <c r="U68">
        <f t="shared" si="15"/>
        <v>-0.78266668813401319</v>
      </c>
      <c r="V68">
        <f t="shared" si="16"/>
        <v>0.2985756</v>
      </c>
      <c r="W68">
        <f t="shared" si="17"/>
        <v>-0.4770549847687528</v>
      </c>
      <c r="X68">
        <f t="shared" si="18"/>
        <v>0.25097437522178223</v>
      </c>
      <c r="Y68">
        <f t="shared" si="19"/>
        <v>111.24820648438788</v>
      </c>
      <c r="Z68">
        <f t="shared" si="20"/>
        <v>84.744589533326561</v>
      </c>
      <c r="AA68">
        <f t="shared" si="21"/>
        <v>84.744589533326561</v>
      </c>
    </row>
    <row r="69" spans="1:27" x14ac:dyDescent="0.3">
      <c r="A69">
        <v>0.818803533333333</v>
      </c>
      <c r="B69">
        <v>1.10085433333333</v>
      </c>
      <c r="C69">
        <v>0.80512839999999997</v>
      </c>
      <c r="D69">
        <v>-0.24866666666666701</v>
      </c>
      <c r="E69">
        <v>-1.56</v>
      </c>
      <c r="F69">
        <v>28.931333333333299</v>
      </c>
      <c r="G69">
        <v>-1.10677E-3</v>
      </c>
      <c r="H69">
        <v>-4.0689979999999999E-3</v>
      </c>
      <c r="I69">
        <v>2.0182260000000001E-3</v>
      </c>
      <c r="J69">
        <v>300.60000000000002</v>
      </c>
      <c r="K69">
        <v>284.39999999999998</v>
      </c>
      <c r="L69">
        <v>307.8</v>
      </c>
      <c r="M69">
        <v>5016</v>
      </c>
      <c r="N69">
        <v>4732</v>
      </c>
      <c r="O69">
        <v>5042</v>
      </c>
      <c r="P69">
        <v>4</v>
      </c>
      <c r="Q69">
        <f t="shared" si="11"/>
        <v>91.314055175511314</v>
      </c>
      <c r="R69">
        <f t="shared" si="12"/>
        <v>-0.20284854067771893</v>
      </c>
      <c r="S69">
        <f t="shared" si="13"/>
        <v>32.832000000000001</v>
      </c>
      <c r="T69">
        <f t="shared" si="14"/>
        <v>6.2182527462328321E-3</v>
      </c>
      <c r="U69">
        <f t="shared" si="15"/>
        <v>-0.71902517170939551</v>
      </c>
      <c r="V69">
        <f t="shared" si="16"/>
        <v>0.26837613333333332</v>
      </c>
      <c r="W69">
        <f t="shared" si="17"/>
        <v>-0.44443078562982941</v>
      </c>
      <c r="X69">
        <f t="shared" si="18"/>
        <v>0.28211604914396948</v>
      </c>
      <c r="Y69">
        <f t="shared" si="19"/>
        <v>122.33576656841319</v>
      </c>
      <c r="Z69">
        <f t="shared" si="20"/>
        <v>107.80143887608473</v>
      </c>
      <c r="AA69">
        <f t="shared" si="21"/>
        <v>107.80143887608473</v>
      </c>
    </row>
    <row r="70" spans="1:27" x14ac:dyDescent="0.3">
      <c r="A70">
        <v>0.7760686</v>
      </c>
      <c r="B70">
        <v>1.0444439999999999</v>
      </c>
      <c r="C70">
        <v>0.79316260000000005</v>
      </c>
      <c r="D70">
        <v>0.30733333333333301</v>
      </c>
      <c r="E70">
        <v>-1.61266666666667</v>
      </c>
      <c r="F70">
        <v>29.584666666666699</v>
      </c>
      <c r="G70">
        <v>-1.74152933333333E-3</v>
      </c>
      <c r="H70">
        <v>-1.24511793333333E-2</v>
      </c>
      <c r="I70">
        <v>-6.2337219999999997E-3</v>
      </c>
      <c r="J70">
        <v>297</v>
      </c>
      <c r="K70">
        <v>289.8</v>
      </c>
      <c r="L70">
        <v>307.8</v>
      </c>
      <c r="M70">
        <v>5305</v>
      </c>
      <c r="N70">
        <v>4935</v>
      </c>
      <c r="O70">
        <v>5306</v>
      </c>
      <c r="P70">
        <v>4</v>
      </c>
      <c r="Q70">
        <f t="shared" si="11"/>
        <v>90.220473676403387</v>
      </c>
      <c r="R70">
        <f t="shared" si="12"/>
        <v>-0.20670009524754906</v>
      </c>
      <c r="S70">
        <f t="shared" si="13"/>
        <v>32.832000000000001</v>
      </c>
      <c r="T70">
        <f t="shared" si="14"/>
        <v>5.8937101597123925E-3</v>
      </c>
      <c r="U70">
        <f t="shared" si="15"/>
        <v>-0.68218065160984065</v>
      </c>
      <c r="V70">
        <f t="shared" si="16"/>
        <v>0.26438753333333337</v>
      </c>
      <c r="W70">
        <f t="shared" si="17"/>
        <v>-0.41189940811679487</v>
      </c>
      <c r="X70">
        <f t="shared" si="18"/>
        <v>0.30299905862144999</v>
      </c>
      <c r="Y70">
        <f t="shared" si="19"/>
        <v>124.18134692684701</v>
      </c>
      <c r="Z70">
        <f t="shared" si="20"/>
        <v>111.89887168154435</v>
      </c>
      <c r="AA70">
        <f t="shared" si="21"/>
        <v>111.89887168154435</v>
      </c>
    </row>
    <row r="71" spans="1:27" x14ac:dyDescent="0.3">
      <c r="A71">
        <v>0.93956057142857097</v>
      </c>
      <c r="B71">
        <v>1.14835142857143</v>
      </c>
      <c r="C71">
        <v>0.86630064285714303</v>
      </c>
      <c r="D71">
        <v>-0.29499999999999998</v>
      </c>
      <c r="E71">
        <v>-2.9592857142857101</v>
      </c>
      <c r="F71">
        <v>60.225714285714297</v>
      </c>
      <c r="G71">
        <v>-4.8130542857142897E-3</v>
      </c>
      <c r="H71">
        <v>2.7744865714285701E-2</v>
      </c>
      <c r="I71">
        <v>1.05329E-2</v>
      </c>
      <c r="J71">
        <v>696.21428571428601</v>
      </c>
      <c r="K71">
        <v>675</v>
      </c>
      <c r="L71">
        <v>702</v>
      </c>
      <c r="M71">
        <v>10611</v>
      </c>
      <c r="N71">
        <v>10370</v>
      </c>
      <c r="O71">
        <v>10755</v>
      </c>
      <c r="P71">
        <v>4</v>
      </c>
      <c r="Q71">
        <f t="shared" si="11"/>
        <v>211.4908506310496</v>
      </c>
      <c r="R71">
        <f t="shared" si="12"/>
        <v>-0.48144432122876335</v>
      </c>
      <c r="S71">
        <f t="shared" si="13"/>
        <v>74.88</v>
      </c>
      <c r="T71">
        <f t="shared" si="14"/>
        <v>7.1353198486496551E-3</v>
      </c>
      <c r="U71">
        <f t="shared" si="15"/>
        <v>-0.75004799282675716</v>
      </c>
      <c r="V71">
        <f t="shared" si="16"/>
        <v>0.28876688095238101</v>
      </c>
      <c r="W71">
        <f t="shared" si="17"/>
        <v>-0.45414579202572647</v>
      </c>
      <c r="X71">
        <f t="shared" si="18"/>
        <v>0.64188468715756608</v>
      </c>
      <c r="Y71">
        <f t="shared" si="19"/>
        <v>259.30951552698332</v>
      </c>
      <c r="Z71">
        <f t="shared" si="20"/>
        <v>208.56170931750927</v>
      </c>
      <c r="AA71">
        <f t="shared" si="21"/>
        <v>208.56170931750927</v>
      </c>
    </row>
    <row r="72" spans="1:27" x14ac:dyDescent="0.3">
      <c r="A72">
        <v>0.89926757142857106</v>
      </c>
      <c r="B72">
        <v>1.1758228571428599</v>
      </c>
      <c r="C72">
        <v>0.84249042857142897</v>
      </c>
      <c r="D72">
        <v>-1.60214285714286</v>
      </c>
      <c r="E72">
        <v>-3.9078571428571398</v>
      </c>
      <c r="F72">
        <v>66.2628571428572</v>
      </c>
      <c r="G72">
        <v>2.4448915000000002E-2</v>
      </c>
      <c r="H72">
        <v>0.10065571500000001</v>
      </c>
      <c r="I72">
        <v>3.04478385714286E-2</v>
      </c>
      <c r="J72">
        <v>696.21428571428601</v>
      </c>
      <c r="K72">
        <v>661.5</v>
      </c>
      <c r="L72">
        <v>705.857142857143</v>
      </c>
      <c r="M72">
        <v>10361</v>
      </c>
      <c r="N72">
        <v>10005</v>
      </c>
      <c r="O72">
        <v>10441</v>
      </c>
      <c r="P72">
        <v>4</v>
      </c>
      <c r="Q72">
        <f t="shared" si="11"/>
        <v>211.4908506310496</v>
      </c>
      <c r="R72">
        <f t="shared" si="12"/>
        <v>-0.47181543480418808</v>
      </c>
      <c r="S72">
        <f t="shared" si="13"/>
        <v>75.291428571428582</v>
      </c>
      <c r="T72">
        <f t="shared" si="14"/>
        <v>6.8293220754305217E-3</v>
      </c>
      <c r="U72">
        <f t="shared" si="15"/>
        <v>-0.76799101039736051</v>
      </c>
      <c r="V72">
        <f t="shared" si="16"/>
        <v>0.28083014285714297</v>
      </c>
      <c r="W72">
        <f t="shared" si="17"/>
        <v>-0.48033154546478701</v>
      </c>
      <c r="X72">
        <f t="shared" si="18"/>
        <v>0.61435020516720573</v>
      </c>
      <c r="Y72">
        <f t="shared" si="19"/>
        <v>268.10308824195198</v>
      </c>
      <c r="Z72">
        <f t="shared" si="20"/>
        <v>235.95350722933193</v>
      </c>
      <c r="AA72">
        <f t="shared" si="21"/>
        <v>235.95350722933193</v>
      </c>
    </row>
    <row r="73" spans="1:27" x14ac:dyDescent="0.3">
      <c r="A73">
        <v>0.94688614285714301</v>
      </c>
      <c r="B73">
        <v>1.21978071428571</v>
      </c>
      <c r="C73">
        <v>0.87179564285714295</v>
      </c>
      <c r="D73">
        <v>-1.01571428571429</v>
      </c>
      <c r="E73">
        <v>-3.3621428571428602</v>
      </c>
      <c r="F73">
        <v>65.352142857142894</v>
      </c>
      <c r="G73">
        <v>-1.7578114285714298E-2</v>
      </c>
      <c r="H73">
        <v>-5.9081993571428598E-2</v>
      </c>
      <c r="I73">
        <v>4.6247264285714303E-2</v>
      </c>
      <c r="J73">
        <v>680.78571428571399</v>
      </c>
      <c r="K73">
        <v>673.07142857142901</v>
      </c>
      <c r="L73">
        <v>711.642857142857</v>
      </c>
      <c r="M73">
        <v>10735</v>
      </c>
      <c r="N73">
        <v>10345</v>
      </c>
      <c r="O73">
        <v>10849</v>
      </c>
      <c r="P73">
        <v>4</v>
      </c>
      <c r="Q73">
        <f t="shared" si="11"/>
        <v>206.80407277772974</v>
      </c>
      <c r="R73">
        <f t="shared" si="12"/>
        <v>-0.48006876602525289</v>
      </c>
      <c r="S73">
        <f t="shared" si="13"/>
        <v>75.908571428571406</v>
      </c>
      <c r="T73">
        <f t="shared" si="14"/>
        <v>7.190952552709933E-3</v>
      </c>
      <c r="U73">
        <f t="shared" si="15"/>
        <v>-0.79670217119591147</v>
      </c>
      <c r="V73">
        <f t="shared" si="16"/>
        <v>0.29059854761904763</v>
      </c>
      <c r="W73">
        <f t="shared" si="17"/>
        <v>-0.49891267102415388</v>
      </c>
      <c r="X73">
        <f t="shared" si="18"/>
        <v>0.60256992309263147</v>
      </c>
      <c r="Y73">
        <f t="shared" si="19"/>
        <v>261.21455888376192</v>
      </c>
      <c r="Z73">
        <f t="shared" si="20"/>
        <v>224.88805739942833</v>
      </c>
      <c r="AA73">
        <f t="shared" si="21"/>
        <v>224.88805739942833</v>
      </c>
    </row>
    <row r="74" spans="1:27" x14ac:dyDescent="0.3">
      <c r="A74">
        <v>0.7076926</v>
      </c>
      <c r="B74">
        <v>1.0256400000000001E-2</v>
      </c>
      <c r="C74">
        <v>0.76068386666666699</v>
      </c>
      <c r="D74">
        <v>1.0166666666666699</v>
      </c>
      <c r="E74">
        <v>0.38</v>
      </c>
      <c r="F74">
        <v>0.86733333333333296</v>
      </c>
      <c r="G74">
        <v>1.36067758666667E-2</v>
      </c>
      <c r="H74">
        <v>5.3385433333333404E-3</v>
      </c>
      <c r="I74">
        <v>-1.3671932666666699E-3</v>
      </c>
      <c r="J74">
        <v>-253.8</v>
      </c>
      <c r="K74">
        <v>0</v>
      </c>
      <c r="L74">
        <v>257.39999999999998</v>
      </c>
      <c r="M74">
        <v>-4405</v>
      </c>
      <c r="N74">
        <v>5</v>
      </c>
      <c r="O74">
        <v>4378</v>
      </c>
      <c r="P74">
        <v>5</v>
      </c>
      <c r="Q74">
        <f t="shared" si="11"/>
        <v>-77.097495687108349</v>
      </c>
      <c r="R74">
        <f t="shared" si="12"/>
        <v>0</v>
      </c>
      <c r="S74">
        <f t="shared" si="13"/>
        <v>27.456</v>
      </c>
      <c r="T74">
        <f t="shared" si="14"/>
        <v>5.3744412112193152E-3</v>
      </c>
      <c r="U74">
        <f t="shared" si="15"/>
        <v>-6.6989878204778532E-3</v>
      </c>
      <c r="V74">
        <f t="shared" si="16"/>
        <v>0.25356128888888901</v>
      </c>
      <c r="W74">
        <f t="shared" si="17"/>
        <v>0.2522367422796305</v>
      </c>
      <c r="X74">
        <f t="shared" si="18"/>
        <v>0</v>
      </c>
      <c r="Y74">
        <f t="shared" si="19"/>
        <v>108.28151300347454</v>
      </c>
      <c r="Z74">
        <f t="shared" si="20"/>
        <v>3.4206062649941802</v>
      </c>
      <c r="AA74">
        <f t="shared" si="21"/>
        <v>3.4206062649941802</v>
      </c>
    </row>
    <row r="75" spans="1:27" x14ac:dyDescent="0.3">
      <c r="A75">
        <v>0.78803440000000002</v>
      </c>
      <c r="B75">
        <v>1.0256400000000001E-2</v>
      </c>
      <c r="C75">
        <v>0.76410279999999997</v>
      </c>
      <c r="D75">
        <v>0.69533333333333303</v>
      </c>
      <c r="E75">
        <v>0.212666666666667</v>
      </c>
      <c r="F75">
        <v>0.95</v>
      </c>
      <c r="G75">
        <v>-4.7200580000000001E-3</v>
      </c>
      <c r="H75">
        <v>5.8593693333333302E-3</v>
      </c>
      <c r="I75">
        <v>2.5227831333333299E-3</v>
      </c>
      <c r="J75">
        <v>-253.8</v>
      </c>
      <c r="K75">
        <v>0</v>
      </c>
      <c r="L75">
        <v>261</v>
      </c>
      <c r="M75">
        <v>-4274</v>
      </c>
      <c r="N75">
        <v>11</v>
      </c>
      <c r="O75">
        <v>4311</v>
      </c>
      <c r="P75">
        <v>5</v>
      </c>
      <c r="Q75">
        <f t="shared" si="11"/>
        <v>-77.097495687108349</v>
      </c>
      <c r="R75">
        <f t="shared" si="12"/>
        <v>0</v>
      </c>
      <c r="S75">
        <f t="shared" si="13"/>
        <v>27.84</v>
      </c>
      <c r="T75">
        <f t="shared" si="14"/>
        <v>5.9845822256986815E-3</v>
      </c>
      <c r="U75">
        <f t="shared" si="15"/>
        <v>-6.6989878204778532E-3</v>
      </c>
      <c r="V75">
        <f t="shared" si="16"/>
        <v>0.25470093333333332</v>
      </c>
      <c r="W75">
        <f t="shared" si="17"/>
        <v>0.25398652773855412</v>
      </c>
      <c r="X75">
        <f t="shared" si="18"/>
        <v>0</v>
      </c>
      <c r="Y75">
        <f t="shared" si="19"/>
        <v>109.30466424151305</v>
      </c>
      <c r="Z75">
        <f t="shared" si="20"/>
        <v>3.7298646203102512</v>
      </c>
      <c r="AA75">
        <f t="shared" si="21"/>
        <v>3.7298646203102512</v>
      </c>
    </row>
    <row r="76" spans="1:27" x14ac:dyDescent="0.3">
      <c r="A76">
        <v>0.7623934</v>
      </c>
      <c r="B76">
        <v>5.1282000000000003E-3</v>
      </c>
      <c r="C76">
        <v>0.74358999999999997</v>
      </c>
      <c r="D76">
        <v>0.74933333333333296</v>
      </c>
      <c r="E76">
        <v>0.14199999999999999</v>
      </c>
      <c r="F76">
        <v>0.67800000000000005</v>
      </c>
      <c r="G76">
        <v>1.7578006666666699E-3</v>
      </c>
      <c r="H76">
        <v>4.3782600000000001E-3</v>
      </c>
      <c r="I76">
        <v>-9.7330673333333399E-3</v>
      </c>
      <c r="J76">
        <v>-259.2</v>
      </c>
      <c r="K76">
        <v>-1.8</v>
      </c>
      <c r="L76">
        <v>261</v>
      </c>
      <c r="M76">
        <v>-4146</v>
      </c>
      <c r="N76">
        <v>-1</v>
      </c>
      <c r="O76">
        <v>4133</v>
      </c>
      <c r="P76">
        <v>5</v>
      </c>
      <c r="Q76">
        <f t="shared" si="11"/>
        <v>-78.737867935770225</v>
      </c>
      <c r="R76">
        <f t="shared" si="12"/>
        <v>1.2838515232767023E-3</v>
      </c>
      <c r="S76">
        <f t="shared" si="13"/>
        <v>27.84</v>
      </c>
      <c r="T76">
        <f t="shared" si="14"/>
        <v>5.7898563700137778E-3</v>
      </c>
      <c r="U76">
        <f t="shared" si="15"/>
        <v>-3.3494939102389266E-3</v>
      </c>
      <c r="V76">
        <f t="shared" si="16"/>
        <v>0.24786333333333332</v>
      </c>
      <c r="W76">
        <f t="shared" si="17"/>
        <v>0.25030369579310818</v>
      </c>
      <c r="X76">
        <f t="shared" si="18"/>
        <v>-0.38329716598443447</v>
      </c>
      <c r="Y76">
        <f t="shared" si="19"/>
        <v>112.31996126897887</v>
      </c>
      <c r="Z76">
        <f t="shared" si="20"/>
        <v>2.7353783671109082</v>
      </c>
      <c r="AA76">
        <f t="shared" si="21"/>
        <v>2.7353783671109082</v>
      </c>
    </row>
    <row r="77" spans="1:27" x14ac:dyDescent="0.3">
      <c r="A77">
        <v>0.46495700000000001</v>
      </c>
      <c r="B77">
        <v>0.91794853333333304</v>
      </c>
      <c r="C77">
        <v>0.44444420000000001</v>
      </c>
      <c r="D77">
        <v>1.526</v>
      </c>
      <c r="E77">
        <v>0.66</v>
      </c>
      <c r="F77">
        <v>-0.77800000666666702</v>
      </c>
      <c r="G77">
        <v>1.7057283999999999E-2</v>
      </c>
      <c r="H77">
        <v>-1.3443999999999999E-2</v>
      </c>
      <c r="I77">
        <v>3.32031666666667E-3</v>
      </c>
      <c r="J77">
        <v>138.6</v>
      </c>
      <c r="K77">
        <v>-298.8</v>
      </c>
      <c r="L77">
        <v>149.4</v>
      </c>
      <c r="M77">
        <v>2464</v>
      </c>
      <c r="N77">
        <v>-5032</v>
      </c>
      <c r="O77">
        <v>2490</v>
      </c>
      <c r="P77">
        <v>5</v>
      </c>
      <c r="Q77">
        <f t="shared" si="11"/>
        <v>42.102887715654909</v>
      </c>
      <c r="R77">
        <f t="shared" si="12"/>
        <v>0.21311935286393258</v>
      </c>
      <c r="S77">
        <f t="shared" si="13"/>
        <v>15.936</v>
      </c>
      <c r="T77">
        <f t="shared" si="14"/>
        <v>3.5310303686161186E-3</v>
      </c>
      <c r="U77">
        <f t="shared" si="15"/>
        <v>-0.59955988891087575</v>
      </c>
      <c r="V77">
        <f t="shared" si="16"/>
        <v>0.14814806666666666</v>
      </c>
      <c r="W77">
        <f t="shared" si="17"/>
        <v>-0.44788079187559293</v>
      </c>
      <c r="X77">
        <f t="shared" si="18"/>
        <v>-0.35545965766834786</v>
      </c>
      <c r="Y77">
        <f t="shared" si="19"/>
        <v>107.56805916243255</v>
      </c>
      <c r="Z77">
        <f t="shared" si="20"/>
        <v>-5.2515029333266163</v>
      </c>
      <c r="AA77">
        <f t="shared" si="21"/>
        <v>-5.2515029333266163</v>
      </c>
    </row>
    <row r="78" spans="1:27" x14ac:dyDescent="0.3">
      <c r="A78">
        <v>0.42905959999999999</v>
      </c>
      <c r="B78">
        <v>0.72649600000000003</v>
      </c>
      <c r="C78">
        <v>0.41709380000000001</v>
      </c>
      <c r="D78">
        <v>0.75133333333333296</v>
      </c>
      <c r="E78">
        <v>0.61933333333333296</v>
      </c>
      <c r="F78">
        <v>-0.72533334000000005</v>
      </c>
      <c r="G78">
        <v>-1.7252606666666699E-3</v>
      </c>
      <c r="H78">
        <v>-4.6874953333333304E-3</v>
      </c>
      <c r="I78">
        <v>-2.81574333333333E-3</v>
      </c>
      <c r="J78">
        <v>144</v>
      </c>
      <c r="K78">
        <v>-316.8</v>
      </c>
      <c r="L78">
        <v>154.80000000000001</v>
      </c>
      <c r="M78">
        <v>2427</v>
      </c>
      <c r="N78">
        <v>-5182</v>
      </c>
      <c r="O78">
        <v>2485</v>
      </c>
      <c r="P78">
        <v>5</v>
      </c>
      <c r="Q78">
        <f t="shared" si="11"/>
        <v>43.743259964316792</v>
      </c>
      <c r="R78">
        <f t="shared" si="12"/>
        <v>0.2259578680966996</v>
      </c>
      <c r="S78">
        <f t="shared" si="13"/>
        <v>16.512</v>
      </c>
      <c r="T78">
        <f t="shared" si="14"/>
        <v>3.2584141706572529E-3</v>
      </c>
      <c r="U78">
        <f t="shared" si="15"/>
        <v>-0.47451229043581356</v>
      </c>
      <c r="V78">
        <f t="shared" si="16"/>
        <v>0.13903126666666668</v>
      </c>
      <c r="W78">
        <f t="shared" si="17"/>
        <v>-0.33222260959848959</v>
      </c>
      <c r="X78">
        <f t="shared" si="18"/>
        <v>-0.47618970604358779</v>
      </c>
      <c r="Y78">
        <f t="shared" si="19"/>
        <v>118.7646519799623</v>
      </c>
      <c r="Z78">
        <f t="shared" si="20"/>
        <v>-5.2170519437114624</v>
      </c>
      <c r="AA78">
        <f t="shared" si="21"/>
        <v>-5.2170519437114624</v>
      </c>
    </row>
    <row r="79" spans="1:27" x14ac:dyDescent="0.3">
      <c r="A79">
        <v>0.47350419999999999</v>
      </c>
      <c r="B79">
        <v>0.83247833333333299</v>
      </c>
      <c r="C79">
        <v>0.46153840000000002</v>
      </c>
      <c r="D79">
        <v>0.57999999999999996</v>
      </c>
      <c r="E79">
        <v>0.28666666666666701</v>
      </c>
      <c r="F79">
        <v>-1.3333399999999401E-3</v>
      </c>
      <c r="G79">
        <v>3.548168E-3</v>
      </c>
      <c r="H79">
        <v>2.0670491333333301E-3</v>
      </c>
      <c r="I79">
        <v>-1.1718793333333299E-3</v>
      </c>
      <c r="J79">
        <v>144</v>
      </c>
      <c r="K79">
        <v>-302.39999999999998</v>
      </c>
      <c r="L79">
        <v>147.6</v>
      </c>
      <c r="M79">
        <v>2602</v>
      </c>
      <c r="N79">
        <v>-5361</v>
      </c>
      <c r="O79">
        <v>2639</v>
      </c>
      <c r="P79">
        <v>5</v>
      </c>
      <c r="Q79">
        <f t="shared" si="11"/>
        <v>43.743259964316792</v>
      </c>
      <c r="R79">
        <f t="shared" si="12"/>
        <v>0.21568705591048595</v>
      </c>
      <c r="S79">
        <f t="shared" si="13"/>
        <v>15.744</v>
      </c>
      <c r="T79">
        <f t="shared" si="14"/>
        <v>3.5959405060409463E-3</v>
      </c>
      <c r="U79">
        <f t="shared" si="15"/>
        <v>-0.54373485977650049</v>
      </c>
      <c r="V79">
        <f t="shared" si="16"/>
        <v>0.15384613333333333</v>
      </c>
      <c r="W79">
        <f t="shared" si="17"/>
        <v>-0.38629278593712624</v>
      </c>
      <c r="X79">
        <f t="shared" si="18"/>
        <v>-0.39667689505716636</v>
      </c>
      <c r="Y79">
        <f t="shared" si="19"/>
        <v>102.33601364480182</v>
      </c>
      <c r="Z79">
        <f t="shared" si="20"/>
        <v>-8.6667111555610975E-3</v>
      </c>
      <c r="AA79">
        <f t="shared" si="21"/>
        <v>-8.6667111555610975E-3</v>
      </c>
    </row>
    <row r="80" spans="1:27" x14ac:dyDescent="0.3">
      <c r="A80">
        <v>0.33974325</v>
      </c>
      <c r="B80">
        <v>0.79967968749999996</v>
      </c>
      <c r="C80">
        <v>0.79166712500000003</v>
      </c>
      <c r="D80">
        <v>1.44625</v>
      </c>
      <c r="E80">
        <v>0.1</v>
      </c>
      <c r="F80">
        <v>0.94625000000000004</v>
      </c>
      <c r="G80">
        <v>7.7972456250000001E-3</v>
      </c>
      <c r="H80">
        <v>-1.544189875E-2</v>
      </c>
      <c r="I80">
        <v>-1.5777557937499999E-2</v>
      </c>
      <c r="J80">
        <v>-111.375</v>
      </c>
      <c r="K80">
        <v>-317.25</v>
      </c>
      <c r="L80">
        <v>447.1875</v>
      </c>
      <c r="M80">
        <v>-1765</v>
      </c>
      <c r="N80">
        <v>-5285</v>
      </c>
      <c r="O80">
        <v>7493</v>
      </c>
      <c r="P80">
        <v>5</v>
      </c>
      <c r="Q80">
        <f t="shared" si="11"/>
        <v>-33.832677628651268</v>
      </c>
      <c r="R80">
        <f t="shared" si="12"/>
        <v>0.22627883097751877</v>
      </c>
      <c r="S80">
        <f t="shared" si="13"/>
        <v>47.7</v>
      </c>
      <c r="T80">
        <f t="shared" si="14"/>
        <v>2.5801175878249778E-3</v>
      </c>
      <c r="U80">
        <f t="shared" si="15"/>
        <v>-0.52231235977984813</v>
      </c>
      <c r="V80">
        <f t="shared" si="16"/>
        <v>0.26388904166666666</v>
      </c>
      <c r="W80">
        <f t="shared" si="17"/>
        <v>-0.25584320052535653</v>
      </c>
      <c r="X80">
        <f t="shared" si="18"/>
        <v>-0.43322511279054182</v>
      </c>
      <c r="Y80">
        <f t="shared" si="19"/>
        <v>180.75779008759523</v>
      </c>
      <c r="Z80">
        <f t="shared" si="20"/>
        <v>3.5857873977020334</v>
      </c>
      <c r="AA80">
        <f t="shared" si="21"/>
        <v>3.5857873977020334</v>
      </c>
    </row>
    <row r="81" spans="1:27" x14ac:dyDescent="0.3">
      <c r="A81">
        <v>0.24999974999999999</v>
      </c>
      <c r="B81">
        <v>0.71474381249999996</v>
      </c>
      <c r="C81">
        <v>0.75320512500000003</v>
      </c>
      <c r="D81">
        <v>0.84</v>
      </c>
      <c r="E81">
        <v>0.294375</v>
      </c>
      <c r="F81">
        <v>1.34375</v>
      </c>
      <c r="G81">
        <v>6.6070556250000002E-3</v>
      </c>
      <c r="H81">
        <v>1.4190661875E-2</v>
      </c>
      <c r="I81">
        <v>3.3568874999999999E-4</v>
      </c>
      <c r="J81">
        <v>-114.75</v>
      </c>
      <c r="K81">
        <v>-312.1875</v>
      </c>
      <c r="L81">
        <v>448.875</v>
      </c>
      <c r="M81">
        <v>-1920</v>
      </c>
      <c r="N81">
        <v>-5554</v>
      </c>
      <c r="O81">
        <v>7786</v>
      </c>
      <c r="P81">
        <v>5</v>
      </c>
      <c r="Q81">
        <f t="shared" si="11"/>
        <v>-34.857910284064943</v>
      </c>
      <c r="R81">
        <f t="shared" si="12"/>
        <v>0.22266799856830305</v>
      </c>
      <c r="S81">
        <f t="shared" si="13"/>
        <v>47.88</v>
      </c>
      <c r="T81">
        <f t="shared" si="14"/>
        <v>1.8985770929278137E-3</v>
      </c>
      <c r="U81">
        <f t="shared" si="15"/>
        <v>-0.46683632606951814</v>
      </c>
      <c r="V81">
        <f t="shared" si="16"/>
        <v>0.25106837500000001</v>
      </c>
      <c r="W81">
        <f t="shared" si="17"/>
        <v>-0.21386937397659034</v>
      </c>
      <c r="X81">
        <f t="shared" si="18"/>
        <v>-0.47697230513964933</v>
      </c>
      <c r="Y81">
        <f t="shared" si="19"/>
        <v>190.70502208810649</v>
      </c>
      <c r="Z81">
        <f t="shared" si="20"/>
        <v>5.3521276823494794</v>
      </c>
      <c r="AA81">
        <f t="shared" si="21"/>
        <v>5.3521276823494794</v>
      </c>
    </row>
    <row r="82" spans="1:27" x14ac:dyDescent="0.3">
      <c r="A82">
        <v>0.28846125</v>
      </c>
      <c r="B82">
        <v>0.64583362499999997</v>
      </c>
      <c r="C82">
        <v>0.72275668749999999</v>
      </c>
      <c r="D82">
        <v>0.83374999999999999</v>
      </c>
      <c r="E82">
        <v>0.1</v>
      </c>
      <c r="F82">
        <v>1.2693749999999999</v>
      </c>
      <c r="G82">
        <v>8.52966275E-3</v>
      </c>
      <c r="H82">
        <v>8.5449193749999996E-3</v>
      </c>
      <c r="I82">
        <v>1.2847904375E-2</v>
      </c>
      <c r="J82">
        <v>-113.0625</v>
      </c>
      <c r="K82">
        <v>-322.3125</v>
      </c>
      <c r="L82">
        <v>453.9375</v>
      </c>
      <c r="M82">
        <v>-1888</v>
      </c>
      <c r="N82">
        <v>-5619</v>
      </c>
      <c r="O82">
        <v>7840</v>
      </c>
      <c r="P82">
        <v>5</v>
      </c>
      <c r="Q82">
        <f t="shared" si="11"/>
        <v>-34.345293956358105</v>
      </c>
      <c r="R82">
        <f t="shared" si="12"/>
        <v>0.2298896633867345</v>
      </c>
      <c r="S82">
        <f t="shared" si="13"/>
        <v>48.42</v>
      </c>
      <c r="T82">
        <f t="shared" si="14"/>
        <v>2.1906658764551698E-3</v>
      </c>
      <c r="U82">
        <f t="shared" si="15"/>
        <v>-0.42182750165068256</v>
      </c>
      <c r="V82">
        <f t="shared" si="16"/>
        <v>0.24091889583333334</v>
      </c>
      <c r="W82">
        <f t="shared" si="17"/>
        <v>-0.17871793994089405</v>
      </c>
      <c r="X82">
        <f t="shared" si="18"/>
        <v>-0.54498500568866959</v>
      </c>
      <c r="Y82">
        <f t="shared" si="19"/>
        <v>200.98049940215876</v>
      </c>
      <c r="Z82">
        <f t="shared" si="20"/>
        <v>5.2688893314459984</v>
      </c>
      <c r="AA82">
        <f t="shared" si="21"/>
        <v>5.2688893314459984</v>
      </c>
    </row>
    <row r="83" spans="1:27" x14ac:dyDescent="0.3">
      <c r="A83">
        <v>0.29401687333333298</v>
      </c>
      <c r="B83">
        <v>0.441025533333333</v>
      </c>
      <c r="C83">
        <v>0.41025620000000002</v>
      </c>
      <c r="D83">
        <v>0.47866666666666702</v>
      </c>
      <c r="E83">
        <v>-1.1100000000000001</v>
      </c>
      <c r="F83">
        <v>16.6786666666667</v>
      </c>
      <c r="G83">
        <v>-1.03352723333333E-2</v>
      </c>
      <c r="H83">
        <v>-9.00062133333333E-3</v>
      </c>
      <c r="I83">
        <v>-2.5716099333333302E-3</v>
      </c>
      <c r="J83">
        <v>154.80000000000001</v>
      </c>
      <c r="K83">
        <v>151.19999999999999</v>
      </c>
      <c r="L83">
        <v>156.6</v>
      </c>
      <c r="M83">
        <v>2560</v>
      </c>
      <c r="N83">
        <v>2359</v>
      </c>
      <c r="O83">
        <v>2423</v>
      </c>
      <c r="P83">
        <v>5</v>
      </c>
      <c r="Q83">
        <f t="shared" si="11"/>
        <v>47.024004461640558</v>
      </c>
      <c r="R83">
        <f t="shared" si="12"/>
        <v>-0.10784352795524298</v>
      </c>
      <c r="S83">
        <f t="shared" si="13"/>
        <v>16.704000000000001</v>
      </c>
      <c r="T83">
        <f t="shared" si="14"/>
        <v>2.2328570354367338E-3</v>
      </c>
      <c r="U83">
        <f t="shared" si="15"/>
        <v>-0.28805669399786932</v>
      </c>
      <c r="V83">
        <f t="shared" si="16"/>
        <v>0.13675206666666667</v>
      </c>
      <c r="W83">
        <f t="shared" si="17"/>
        <v>-0.1490717702957659</v>
      </c>
      <c r="X83">
        <f t="shared" si="18"/>
        <v>0.37438299543922654</v>
      </c>
      <c r="Y83">
        <f t="shared" si="19"/>
        <v>122.14806260088208</v>
      </c>
      <c r="Z83">
        <f t="shared" si="20"/>
        <v>121.96281250594166</v>
      </c>
      <c r="AA83">
        <f t="shared" si="21"/>
        <v>121.96281250594166</v>
      </c>
    </row>
    <row r="84" spans="1:27" x14ac:dyDescent="0.3">
      <c r="A84">
        <v>0.31111080000000002</v>
      </c>
      <c r="B84">
        <v>0.42222206666666701</v>
      </c>
      <c r="C84">
        <v>0.35726466666666701</v>
      </c>
      <c r="D84">
        <v>0.56933333333333302</v>
      </c>
      <c r="E84">
        <v>-0.88066666666666704</v>
      </c>
      <c r="F84">
        <v>19.225999999999999</v>
      </c>
      <c r="G84">
        <v>9.1145666666666604E-4</v>
      </c>
      <c r="H84">
        <v>1.7740906666666701E-3</v>
      </c>
      <c r="I84">
        <v>3.8248652666666699E-3</v>
      </c>
      <c r="J84">
        <v>158.4</v>
      </c>
      <c r="K84">
        <v>158.4</v>
      </c>
      <c r="L84">
        <v>158.4</v>
      </c>
      <c r="M84">
        <v>2589</v>
      </c>
      <c r="N84">
        <v>2494</v>
      </c>
      <c r="O84">
        <v>2545</v>
      </c>
      <c r="P84">
        <v>5</v>
      </c>
      <c r="Q84">
        <f t="shared" si="11"/>
        <v>48.117585960748471</v>
      </c>
      <c r="R84">
        <f t="shared" si="12"/>
        <v>-0.1129789340483498</v>
      </c>
      <c r="S84">
        <f t="shared" si="13"/>
        <v>16.896000000000001</v>
      </c>
      <c r="T84">
        <f t="shared" si="14"/>
        <v>2.3626737156435015E-3</v>
      </c>
      <c r="U84">
        <f t="shared" si="15"/>
        <v>-0.27577517278352931</v>
      </c>
      <c r="V84">
        <f t="shared" si="16"/>
        <v>0.11908822222222233</v>
      </c>
      <c r="W84">
        <f t="shared" si="17"/>
        <v>-0.15432427684566347</v>
      </c>
      <c r="X84">
        <f t="shared" si="18"/>
        <v>0.40967768384659126</v>
      </c>
      <c r="Y84">
        <f t="shared" si="19"/>
        <v>141.87801014000812</v>
      </c>
      <c r="Z84">
        <f t="shared" si="20"/>
        <v>161.44333705917353</v>
      </c>
      <c r="AA84">
        <f t="shared" si="21"/>
        <v>161.44333705917353</v>
      </c>
    </row>
    <row r="85" spans="1:27" x14ac:dyDescent="0.3">
      <c r="A85">
        <v>0.45811960000000002</v>
      </c>
      <c r="B85">
        <v>0.352136533333333</v>
      </c>
      <c r="C85">
        <v>0.2153844</v>
      </c>
      <c r="D85">
        <v>0.29733333333333301</v>
      </c>
      <c r="E85">
        <v>-0.95</v>
      </c>
      <c r="F85">
        <v>17.829999999999998</v>
      </c>
      <c r="G85">
        <v>5.0130191999999997E-3</v>
      </c>
      <c r="H85">
        <v>3.3691392666666698E-3</v>
      </c>
      <c r="I85">
        <v>1.49740413333333E-3</v>
      </c>
      <c r="J85">
        <v>144</v>
      </c>
      <c r="K85">
        <v>162</v>
      </c>
      <c r="L85">
        <v>167.4</v>
      </c>
      <c r="M85">
        <v>2585</v>
      </c>
      <c r="N85">
        <v>2767</v>
      </c>
      <c r="O85">
        <v>2902</v>
      </c>
      <c r="P85">
        <v>5</v>
      </c>
      <c r="Q85">
        <f t="shared" si="11"/>
        <v>43.743259964316792</v>
      </c>
      <c r="R85">
        <f t="shared" si="12"/>
        <v>-0.1155466370949032</v>
      </c>
      <c r="S85">
        <f t="shared" si="13"/>
        <v>17.856000000000002</v>
      </c>
      <c r="T85">
        <f t="shared" si="14"/>
        <v>3.479104992630004E-3</v>
      </c>
      <c r="U85">
        <f t="shared" si="15"/>
        <v>-0.22999866892333481</v>
      </c>
      <c r="V85">
        <f t="shared" si="16"/>
        <v>7.1794800000000006E-2</v>
      </c>
      <c r="W85">
        <f t="shared" si="17"/>
        <v>-0.15472476393070478</v>
      </c>
      <c r="X85">
        <f t="shared" si="18"/>
        <v>0.50237959043762215</v>
      </c>
      <c r="Y85">
        <f t="shared" si="19"/>
        <v>248.70882013739157</v>
      </c>
      <c r="Z85">
        <f t="shared" si="20"/>
        <v>248.34667691810546</v>
      </c>
      <c r="AA85">
        <f t="shared" si="21"/>
        <v>248.34667691810546</v>
      </c>
    </row>
    <row r="86" spans="1:27" x14ac:dyDescent="0.3">
      <c r="A86">
        <v>0.28376053333333301</v>
      </c>
      <c r="B86">
        <v>0.44273473333333302</v>
      </c>
      <c r="C86">
        <v>0.54700879999999996</v>
      </c>
      <c r="D86">
        <v>4.8666666666666802E-2</v>
      </c>
      <c r="E86">
        <v>-2.12266666666667</v>
      </c>
      <c r="F86">
        <v>35.427999999999997</v>
      </c>
      <c r="G86">
        <v>1.25976586666667E-2</v>
      </c>
      <c r="H86">
        <v>-2.77343608E-2</v>
      </c>
      <c r="I86">
        <v>-2.1484486666666701E-3</v>
      </c>
      <c r="J86">
        <v>345.6</v>
      </c>
      <c r="K86">
        <v>331.2</v>
      </c>
      <c r="L86">
        <v>343.8</v>
      </c>
      <c r="M86">
        <v>5074</v>
      </c>
      <c r="N86">
        <v>4828</v>
      </c>
      <c r="O86">
        <v>4795</v>
      </c>
      <c r="P86">
        <v>5</v>
      </c>
      <c r="Q86">
        <f t="shared" si="11"/>
        <v>104.98382391436031</v>
      </c>
      <c r="R86">
        <f t="shared" si="12"/>
        <v>-0.23622868028291322</v>
      </c>
      <c r="S86">
        <f t="shared" si="13"/>
        <v>36.671999999999997</v>
      </c>
      <c r="T86">
        <f t="shared" si="14"/>
        <v>2.1549671488217304E-3</v>
      </c>
      <c r="U86">
        <f t="shared" si="15"/>
        <v>-0.28917306133755583</v>
      </c>
      <c r="V86">
        <f t="shared" si="16"/>
        <v>0.18233626666666666</v>
      </c>
      <c r="W86">
        <f t="shared" si="17"/>
        <v>-0.10468182752206742</v>
      </c>
      <c r="X86">
        <f t="shared" si="18"/>
        <v>0.81691108843351112</v>
      </c>
      <c r="Y86">
        <f t="shared" si="19"/>
        <v>201.1229069806555</v>
      </c>
      <c r="Z86">
        <f t="shared" si="20"/>
        <v>194.30034763608921</v>
      </c>
      <c r="AA86">
        <f t="shared" si="21"/>
        <v>194.30034763608921</v>
      </c>
    </row>
    <row r="87" spans="1:27" x14ac:dyDescent="0.3">
      <c r="A87">
        <v>0.44273499999999999</v>
      </c>
      <c r="B87">
        <v>0.358974133333333</v>
      </c>
      <c r="C87">
        <v>0.23760661333333299</v>
      </c>
      <c r="D87">
        <v>0.537333333333333</v>
      </c>
      <c r="E87">
        <v>-2.1859999999999999</v>
      </c>
      <c r="F87">
        <v>37.036666666666697</v>
      </c>
      <c r="G87">
        <v>1.5348304E-2</v>
      </c>
      <c r="H87">
        <v>1.1116544000000001E-2</v>
      </c>
      <c r="I87">
        <v>6.0222400000000005E-4</v>
      </c>
      <c r="J87">
        <v>334.8</v>
      </c>
      <c r="K87">
        <v>342</v>
      </c>
      <c r="L87">
        <v>347.4</v>
      </c>
      <c r="M87">
        <v>5674</v>
      </c>
      <c r="N87">
        <v>5807</v>
      </c>
      <c r="O87">
        <v>5905</v>
      </c>
      <c r="P87">
        <v>5</v>
      </c>
      <c r="Q87">
        <f t="shared" si="11"/>
        <v>101.70307941703655</v>
      </c>
      <c r="R87">
        <f t="shared" si="12"/>
        <v>-0.24393178942257343</v>
      </c>
      <c r="S87">
        <f t="shared" si="13"/>
        <v>37.055999999999997</v>
      </c>
      <c r="T87">
        <f t="shared" si="14"/>
        <v>3.3622694792190613E-3</v>
      </c>
      <c r="U87">
        <f t="shared" si="15"/>
        <v>-0.23446466080365339</v>
      </c>
      <c r="V87">
        <f t="shared" si="16"/>
        <v>7.9202204444444327E-2</v>
      </c>
      <c r="W87">
        <f t="shared" si="17"/>
        <v>-0.15190018687999002</v>
      </c>
      <c r="X87">
        <f t="shared" si="18"/>
        <v>1.0403776355313863</v>
      </c>
      <c r="Y87">
        <f t="shared" si="19"/>
        <v>467.86576535243529</v>
      </c>
      <c r="Z87">
        <f t="shared" si="20"/>
        <v>467.62166440260808</v>
      </c>
      <c r="AA87">
        <f t="shared" si="21"/>
        <v>467.62166440260808</v>
      </c>
    </row>
    <row r="88" spans="1:27" x14ac:dyDescent="0.3">
      <c r="A88">
        <v>0.25128187333333302</v>
      </c>
      <c r="B88">
        <v>0.43760680000000002</v>
      </c>
      <c r="C88">
        <v>0.40170919999999999</v>
      </c>
      <c r="D88">
        <v>-0.102666666666667</v>
      </c>
      <c r="E88">
        <v>-2.3319999999999999</v>
      </c>
      <c r="F88">
        <v>40.2113333333333</v>
      </c>
      <c r="G88">
        <v>-4.6223993333333298E-3</v>
      </c>
      <c r="H88">
        <v>6.5592460000000003E-3</v>
      </c>
      <c r="I88">
        <v>-1.9368497333333301E-3</v>
      </c>
      <c r="J88">
        <v>347.4</v>
      </c>
      <c r="K88">
        <v>336.6</v>
      </c>
      <c r="L88">
        <v>349.2</v>
      </c>
      <c r="M88">
        <v>5701</v>
      </c>
      <c r="N88">
        <v>5469</v>
      </c>
      <c r="O88">
        <v>5515</v>
      </c>
      <c r="P88">
        <v>5</v>
      </c>
      <c r="Q88">
        <f t="shared" si="11"/>
        <v>105.53061466391425</v>
      </c>
      <c r="R88">
        <f t="shared" si="12"/>
        <v>-0.24008023485274335</v>
      </c>
      <c r="S88">
        <f t="shared" si="13"/>
        <v>37.247999999999998</v>
      </c>
      <c r="T88">
        <f t="shared" si="14"/>
        <v>1.9083139426285607E-3</v>
      </c>
      <c r="U88">
        <f t="shared" si="15"/>
        <v>-0.28582374160117463</v>
      </c>
      <c r="V88">
        <f t="shared" si="16"/>
        <v>0.13390306666666665</v>
      </c>
      <c r="W88">
        <f t="shared" si="17"/>
        <v>-0.1500123609918794</v>
      </c>
      <c r="X88">
        <f t="shared" si="18"/>
        <v>0.83995903736975186</v>
      </c>
      <c r="Y88">
        <f t="shared" si="19"/>
        <v>278.17137372009404</v>
      </c>
      <c r="Z88">
        <f t="shared" si="20"/>
        <v>300.3018103643131</v>
      </c>
      <c r="AA88">
        <f t="shared" si="21"/>
        <v>300.3018103643131</v>
      </c>
    </row>
    <row r="89" spans="1:27" x14ac:dyDescent="0.3">
      <c r="A89">
        <v>0.37777766666666701</v>
      </c>
      <c r="B89">
        <v>0.38632448000000003</v>
      </c>
      <c r="C89">
        <v>0.40512806666666701</v>
      </c>
      <c r="D89">
        <v>-0.460666666666667</v>
      </c>
      <c r="E89">
        <v>-4.0053333333333301</v>
      </c>
      <c r="F89">
        <v>81.093333333333305</v>
      </c>
      <c r="G89">
        <v>-1.08723733333333E-2</v>
      </c>
      <c r="H89">
        <v>-9.4824246666666695E-2</v>
      </c>
      <c r="I89">
        <v>-2.1679779999999999E-2</v>
      </c>
      <c r="J89">
        <v>729</v>
      </c>
      <c r="K89">
        <v>747</v>
      </c>
      <c r="L89">
        <v>766.8</v>
      </c>
      <c r="M89">
        <v>12266</v>
      </c>
      <c r="N89">
        <v>12280</v>
      </c>
      <c r="O89">
        <v>12393</v>
      </c>
      <c r="P89">
        <v>5</v>
      </c>
      <c r="Q89">
        <f t="shared" si="11"/>
        <v>221.45025356935378</v>
      </c>
      <c r="R89">
        <f t="shared" si="12"/>
        <v>-0.53279838215983144</v>
      </c>
      <c r="S89">
        <f t="shared" si="13"/>
        <v>81.792000000000002</v>
      </c>
      <c r="T89">
        <f t="shared" si="14"/>
        <v>2.8689629655751785E-3</v>
      </c>
      <c r="U89">
        <f t="shared" si="15"/>
        <v>-0.25232859349015641</v>
      </c>
      <c r="V89">
        <f t="shared" si="16"/>
        <v>0.13504268888888901</v>
      </c>
      <c r="W89">
        <f t="shared" si="17"/>
        <v>-0.11441694163569222</v>
      </c>
      <c r="X89">
        <f t="shared" si="18"/>
        <v>2.1115259859783446</v>
      </c>
      <c r="Y89">
        <f t="shared" si="19"/>
        <v>605.67514371175741</v>
      </c>
      <c r="Z89">
        <f t="shared" si="20"/>
        <v>600.50147105746407</v>
      </c>
      <c r="AA89">
        <f t="shared" si="21"/>
        <v>600.50147105746407</v>
      </c>
    </row>
    <row r="90" spans="1:27" x14ac:dyDescent="0.3">
      <c r="A90">
        <v>0.44273506666666701</v>
      </c>
      <c r="B90">
        <v>0.39145301333333299</v>
      </c>
      <c r="C90">
        <v>0.34188020000000002</v>
      </c>
      <c r="D90">
        <v>-0.31666666666666698</v>
      </c>
      <c r="E90">
        <v>-5.2446666666666699</v>
      </c>
      <c r="F90">
        <v>82.249333333333297</v>
      </c>
      <c r="G90">
        <v>-3.1835953333333299E-2</v>
      </c>
      <c r="H90">
        <v>-2.8987696266666699E-2</v>
      </c>
      <c r="I90" s="1">
        <v>-3.2643333333333001E-5</v>
      </c>
      <c r="J90">
        <v>747</v>
      </c>
      <c r="K90">
        <v>745.2</v>
      </c>
      <c r="L90">
        <v>756</v>
      </c>
      <c r="M90">
        <v>12010</v>
      </c>
      <c r="N90">
        <v>12087</v>
      </c>
      <c r="O90">
        <v>12139</v>
      </c>
      <c r="P90">
        <v>5</v>
      </c>
      <c r="Q90">
        <f t="shared" si="11"/>
        <v>226.91816106489335</v>
      </c>
      <c r="R90">
        <f t="shared" si="12"/>
        <v>-0.53151453063655474</v>
      </c>
      <c r="S90">
        <f t="shared" si="13"/>
        <v>80.64</v>
      </c>
      <c r="T90">
        <f t="shared" si="14"/>
        <v>3.3622699855067953E-3</v>
      </c>
      <c r="U90">
        <f t="shared" si="15"/>
        <v>-0.25567830511771694</v>
      </c>
      <c r="V90">
        <f t="shared" si="16"/>
        <v>0.11396006666666668</v>
      </c>
      <c r="W90">
        <f t="shared" si="17"/>
        <v>-0.13835596846554343</v>
      </c>
      <c r="X90">
        <f t="shared" si="18"/>
        <v>2.078840949731108</v>
      </c>
      <c r="Y90">
        <f t="shared" si="19"/>
        <v>707.61629366076181</v>
      </c>
      <c r="Z90">
        <f t="shared" si="20"/>
        <v>721.73819952135239</v>
      </c>
      <c r="AA90">
        <f t="shared" si="21"/>
        <v>721.73819952135239</v>
      </c>
    </row>
    <row r="91" spans="1:27" x14ac:dyDescent="0.3">
      <c r="A91">
        <v>0.42905974000000002</v>
      </c>
      <c r="B91">
        <v>0.38119653333333298</v>
      </c>
      <c r="C91">
        <v>0.32136740666666702</v>
      </c>
      <c r="D91">
        <v>-1.3580000000000001</v>
      </c>
      <c r="E91">
        <v>-4.4926666666666701</v>
      </c>
      <c r="F91">
        <v>82.539333333333303</v>
      </c>
      <c r="G91">
        <v>1.2776757999999999E-2</v>
      </c>
      <c r="H91">
        <v>8.4488980000000005E-2</v>
      </c>
      <c r="I91">
        <v>1.4550759999999999E-2</v>
      </c>
      <c r="J91">
        <v>721.8</v>
      </c>
      <c r="K91">
        <v>734.4</v>
      </c>
      <c r="L91">
        <v>747</v>
      </c>
      <c r="M91">
        <v>11972</v>
      </c>
      <c r="N91">
        <v>12115</v>
      </c>
      <c r="O91">
        <v>12125</v>
      </c>
      <c r="P91">
        <v>5</v>
      </c>
      <c r="Q91">
        <f t="shared" si="11"/>
        <v>219.26309057113792</v>
      </c>
      <c r="R91">
        <f t="shared" si="12"/>
        <v>-0.52381142149689452</v>
      </c>
      <c r="S91">
        <f t="shared" si="13"/>
        <v>79.680000000000007</v>
      </c>
      <c r="T91">
        <f t="shared" si="14"/>
        <v>3.2584152338614885E-3</v>
      </c>
      <c r="U91">
        <f t="shared" si="15"/>
        <v>-0.24897926504508183</v>
      </c>
      <c r="V91">
        <f t="shared" si="16"/>
        <v>0.107122468888889</v>
      </c>
      <c r="W91">
        <f t="shared" si="17"/>
        <v>-0.13859838092233134</v>
      </c>
      <c r="X91">
        <f t="shared" si="18"/>
        <v>2.1038355198054335</v>
      </c>
      <c r="Y91">
        <f t="shared" si="19"/>
        <v>743.82154207673057</v>
      </c>
      <c r="Z91">
        <f t="shared" si="20"/>
        <v>770.51373245463424</v>
      </c>
      <c r="AA91">
        <f t="shared" si="21"/>
        <v>770.51373245463424</v>
      </c>
    </row>
    <row r="92" spans="1:27" x14ac:dyDescent="0.3">
      <c r="A92">
        <v>1.1176475882352901</v>
      </c>
      <c r="B92">
        <v>2.26244117647059E-2</v>
      </c>
      <c r="C92">
        <v>1.1085968235294099</v>
      </c>
      <c r="D92">
        <v>0.56411764705882395</v>
      </c>
      <c r="E92">
        <v>3.0588235294117701E-2</v>
      </c>
      <c r="F92">
        <v>0.88235294117647101</v>
      </c>
      <c r="G92">
        <v>1.7563792882352901E-2</v>
      </c>
      <c r="H92">
        <v>-1.1891070588235301E-2</v>
      </c>
      <c r="I92">
        <v>-1.10581347058824E-2</v>
      </c>
      <c r="J92">
        <v>-260.47058823529397</v>
      </c>
      <c r="K92">
        <v>0</v>
      </c>
      <c r="L92">
        <v>258.88235294117601</v>
      </c>
      <c r="M92">
        <v>-4631</v>
      </c>
      <c r="N92">
        <v>-4</v>
      </c>
      <c r="O92">
        <v>4631</v>
      </c>
      <c r="P92">
        <v>1</v>
      </c>
      <c r="Q92">
        <f t="shared" si="11"/>
        <v>-79.123837876631796</v>
      </c>
      <c r="R92">
        <f t="shared" si="12"/>
        <v>0</v>
      </c>
      <c r="S92">
        <f t="shared" si="13"/>
        <v>27.614117647058777</v>
      </c>
      <c r="T92">
        <f t="shared" si="14"/>
        <v>8.4877689237270806E-3</v>
      </c>
      <c r="U92">
        <f t="shared" si="15"/>
        <v>-1.477717901575998E-2</v>
      </c>
      <c r="V92">
        <f t="shared" si="16"/>
        <v>0.3695322745098033</v>
      </c>
      <c r="W92">
        <f t="shared" si="17"/>
        <v>0.36324286441777043</v>
      </c>
      <c r="X92">
        <f t="shared" si="18"/>
        <v>0</v>
      </c>
      <c r="Y92">
        <f t="shared" si="19"/>
        <v>74.727214784391464</v>
      </c>
      <c r="Z92">
        <f t="shared" si="20"/>
        <v>2.387756096127033</v>
      </c>
      <c r="AA92">
        <f t="shared" si="21"/>
        <v>2.387756096127033</v>
      </c>
    </row>
    <row r="93" spans="1:27" x14ac:dyDescent="0.3">
      <c r="A93">
        <v>1.03318282352941</v>
      </c>
      <c r="B93">
        <v>1.20663588235294E-2</v>
      </c>
      <c r="C93">
        <v>0.89592747058823496</v>
      </c>
      <c r="D93">
        <v>0.17764705882352899</v>
      </c>
      <c r="E93">
        <v>0.17941176470588199</v>
      </c>
      <c r="F93">
        <v>0.45764705882352902</v>
      </c>
      <c r="G93">
        <v>1.2867647058823499E-2</v>
      </c>
      <c r="H93">
        <v>-1.223576E-2</v>
      </c>
      <c r="I93">
        <v>-1.0124654176470601E-2</v>
      </c>
      <c r="J93">
        <v>-265.23529411764702</v>
      </c>
      <c r="K93">
        <v>3.1764705882352899</v>
      </c>
      <c r="L93">
        <v>266.82352941176498</v>
      </c>
      <c r="M93">
        <v>-5519</v>
      </c>
      <c r="N93">
        <v>-5</v>
      </c>
      <c r="O93">
        <v>5589</v>
      </c>
      <c r="P93">
        <v>1</v>
      </c>
      <c r="Q93">
        <f t="shared" si="11"/>
        <v>-80.571225154862901</v>
      </c>
      <c r="R93">
        <f t="shared" si="12"/>
        <v>-2.2656203351941774E-3</v>
      </c>
      <c r="S93">
        <f t="shared" si="13"/>
        <v>28.461176470588263</v>
      </c>
      <c r="T93">
        <f t="shared" si="14"/>
        <v>7.8463168125544828E-3</v>
      </c>
      <c r="U93">
        <f t="shared" si="15"/>
        <v>-7.881165983809028E-3</v>
      </c>
      <c r="V93">
        <f t="shared" si="16"/>
        <v>0.2986424901960783</v>
      </c>
      <c r="W93">
        <f t="shared" si="17"/>
        <v>0.29860764102482373</v>
      </c>
      <c r="X93">
        <f t="shared" si="18"/>
        <v>0.28747273434522763</v>
      </c>
      <c r="Y93">
        <f t="shared" si="19"/>
        <v>95.301832140167463</v>
      </c>
      <c r="Z93">
        <f t="shared" si="20"/>
        <v>1.5324244668702496</v>
      </c>
      <c r="AA93">
        <f t="shared" si="21"/>
        <v>1.5324244668702496</v>
      </c>
    </row>
    <row r="94" spans="1:27" x14ac:dyDescent="0.3">
      <c r="A94">
        <v>0.80693823529411801</v>
      </c>
      <c r="B94">
        <v>4.5248823529411798E-3</v>
      </c>
      <c r="C94">
        <v>0.77978953529411799</v>
      </c>
      <c r="D94">
        <v>1.1252941176470601</v>
      </c>
      <c r="E94">
        <v>-0.33588235294117602</v>
      </c>
      <c r="F94">
        <v>1.45588235294118</v>
      </c>
      <c r="G94">
        <v>1.49931147058824E-2</v>
      </c>
      <c r="H94">
        <v>7.6113994117646899E-4</v>
      </c>
      <c r="I94">
        <v>-1.8123874705882399E-2</v>
      </c>
      <c r="J94">
        <v>-214.41176470588201</v>
      </c>
      <c r="K94">
        <v>0</v>
      </c>
      <c r="L94">
        <v>214.41176470588201</v>
      </c>
      <c r="M94">
        <v>-3631</v>
      </c>
      <c r="N94">
        <v>2</v>
      </c>
      <c r="O94">
        <v>3611</v>
      </c>
      <c r="P94">
        <v>1</v>
      </c>
      <c r="Q94">
        <f t="shared" si="11"/>
        <v>-65.132427520398053</v>
      </c>
      <c r="R94">
        <f t="shared" si="12"/>
        <v>0</v>
      </c>
      <c r="S94">
        <f t="shared" si="13"/>
        <v>22.870588235294083</v>
      </c>
      <c r="T94">
        <f t="shared" si="14"/>
        <v>6.1281439238919507E-3</v>
      </c>
      <c r="U94">
        <f t="shared" si="15"/>
        <v>-2.955435803151996E-3</v>
      </c>
      <c r="V94">
        <f t="shared" si="16"/>
        <v>0.25992984509803935</v>
      </c>
      <c r="W94">
        <f t="shared" si="17"/>
        <v>0.26310255321877929</v>
      </c>
      <c r="X94">
        <f t="shared" si="18"/>
        <v>0</v>
      </c>
      <c r="Y94">
        <f t="shared" si="19"/>
        <v>87.987542279601797</v>
      </c>
      <c r="Z94">
        <f t="shared" si="20"/>
        <v>5.6010588256691181</v>
      </c>
      <c r="AA94">
        <f t="shared" si="21"/>
        <v>5.6010588256691181</v>
      </c>
    </row>
    <row r="95" spans="1:27" x14ac:dyDescent="0.3">
      <c r="A95">
        <v>0.53091999999999995</v>
      </c>
      <c r="B95">
        <v>1.0829560588235301</v>
      </c>
      <c r="C95">
        <v>0.54147829411764703</v>
      </c>
      <c r="D95">
        <v>0.63764705882353001</v>
      </c>
      <c r="E95">
        <v>0.35647058823529398</v>
      </c>
      <c r="F95">
        <v>-1.72176470588235</v>
      </c>
      <c r="G95">
        <v>1.55675517647059E-2</v>
      </c>
      <c r="H95">
        <v>1.8669535294117601E-3</v>
      </c>
      <c r="I95">
        <v>-1.47919352941176E-3</v>
      </c>
      <c r="J95">
        <v>155.64705882352899</v>
      </c>
      <c r="K95">
        <v>-309.70588235294099</v>
      </c>
      <c r="L95">
        <v>152.470588235294</v>
      </c>
      <c r="M95">
        <v>2877</v>
      </c>
      <c r="N95">
        <v>-5835</v>
      </c>
      <c r="O95">
        <v>2862</v>
      </c>
      <c r="P95">
        <v>1</v>
      </c>
      <c r="Q95">
        <f t="shared" si="11"/>
        <v>47.281317755548173</v>
      </c>
      <c r="R95">
        <f t="shared" si="12"/>
        <v>0.22089798268143249</v>
      </c>
      <c r="S95">
        <f t="shared" si="13"/>
        <v>16.263529411764694</v>
      </c>
      <c r="T95">
        <f t="shared" si="14"/>
        <v>4.031974232683172E-3</v>
      </c>
      <c r="U95">
        <f t="shared" si="15"/>
        <v>-0.70733487853160215</v>
      </c>
      <c r="V95">
        <f t="shared" si="16"/>
        <v>0.18049276470588235</v>
      </c>
      <c r="W95">
        <f t="shared" si="17"/>
        <v>-0.52281013959303657</v>
      </c>
      <c r="X95">
        <f t="shared" si="18"/>
        <v>-0.31229618301872447</v>
      </c>
      <c r="Y95">
        <f t="shared" si="19"/>
        <v>90.106267906453411</v>
      </c>
      <c r="Z95">
        <f t="shared" si="20"/>
        <v>-9.5392450145467613</v>
      </c>
      <c r="AA95">
        <f t="shared" si="21"/>
        <v>-9.5392450145467613</v>
      </c>
    </row>
    <row r="96" spans="1:27" x14ac:dyDescent="0.3">
      <c r="A96">
        <v>0.56259435294117699</v>
      </c>
      <c r="B96">
        <v>1.0346908823529399</v>
      </c>
      <c r="C96">
        <v>0.47209629411764698</v>
      </c>
      <c r="D96">
        <v>0.185882352941176</v>
      </c>
      <c r="E96">
        <v>-0.35941176470588199</v>
      </c>
      <c r="F96">
        <v>-1.73294117647059</v>
      </c>
      <c r="G96">
        <v>1.0282615882352899E-2</v>
      </c>
      <c r="H96">
        <v>-5.6008705882352999E-3</v>
      </c>
      <c r="I96">
        <v>1.0239540588235301E-2</v>
      </c>
      <c r="J96">
        <v>150.88235294117601</v>
      </c>
      <c r="K96">
        <v>-317.64705882352899</v>
      </c>
      <c r="L96">
        <v>152.470588235294</v>
      </c>
      <c r="M96">
        <v>2829</v>
      </c>
      <c r="N96">
        <v>-5826</v>
      </c>
      <c r="O96">
        <v>2915</v>
      </c>
      <c r="P96">
        <v>1</v>
      </c>
      <c r="Q96">
        <f t="shared" si="11"/>
        <v>45.833930477317082</v>
      </c>
      <c r="R96">
        <f t="shared" si="12"/>
        <v>0.22656203351941773</v>
      </c>
      <c r="S96">
        <f t="shared" si="13"/>
        <v>16.263529411764694</v>
      </c>
      <c r="T96">
        <f t="shared" si="14"/>
        <v>4.2725192769379333E-3</v>
      </c>
      <c r="U96">
        <f t="shared" si="15"/>
        <v>-0.67581038364746182</v>
      </c>
      <c r="V96">
        <f t="shared" si="16"/>
        <v>0.15736543137254899</v>
      </c>
      <c r="W96">
        <f t="shared" si="17"/>
        <v>-0.51417243299797488</v>
      </c>
      <c r="X96">
        <f t="shared" si="18"/>
        <v>-0.33524497255668739</v>
      </c>
      <c r="Y96">
        <f t="shared" si="19"/>
        <v>103.34880583310702</v>
      </c>
      <c r="Z96">
        <f t="shared" si="20"/>
        <v>-11.012209996539852</v>
      </c>
      <c r="AA96">
        <f t="shared" si="21"/>
        <v>-11.012209996539852</v>
      </c>
    </row>
    <row r="97" spans="1:27" x14ac:dyDescent="0.3">
      <c r="A97">
        <v>0.53393676470588203</v>
      </c>
      <c r="B97">
        <v>1.0165918823529401</v>
      </c>
      <c r="C97">
        <v>0.54298665294117698</v>
      </c>
      <c r="D97">
        <v>0.86764705882352999</v>
      </c>
      <c r="E97">
        <v>0.27705882352941202</v>
      </c>
      <c r="F97">
        <v>-1.1523529411764699</v>
      </c>
      <c r="G97">
        <v>8.5736498823529399E-3</v>
      </c>
      <c r="H97">
        <v>-1.0411888294117599E-2</v>
      </c>
      <c r="I97">
        <v>9.3204252941176506E-3</v>
      </c>
      <c r="J97">
        <v>139.76470588235301</v>
      </c>
      <c r="K97">
        <v>-290.64705882352899</v>
      </c>
      <c r="L97">
        <v>144.529411764706</v>
      </c>
      <c r="M97">
        <v>2904</v>
      </c>
      <c r="N97">
        <v>-5936</v>
      </c>
      <c r="O97">
        <v>2912</v>
      </c>
      <c r="P97">
        <v>1</v>
      </c>
      <c r="Q97">
        <f t="shared" si="11"/>
        <v>42.456693494778087</v>
      </c>
      <c r="R97">
        <f t="shared" si="12"/>
        <v>0.20730426067026719</v>
      </c>
      <c r="S97">
        <f t="shared" si="13"/>
        <v>15.416470588235306</v>
      </c>
      <c r="T97">
        <f t="shared" si="14"/>
        <v>4.0548844970547991E-3</v>
      </c>
      <c r="U97">
        <f t="shared" si="15"/>
        <v>-0.66398898622118863</v>
      </c>
      <c r="V97">
        <f t="shared" si="16"/>
        <v>0.18099555098039233</v>
      </c>
      <c r="W97">
        <f t="shared" si="17"/>
        <v>-0.47893855074374148</v>
      </c>
      <c r="X97">
        <f t="shared" si="18"/>
        <v>-0.31221039049164256</v>
      </c>
      <c r="Y97">
        <f t="shared" si="19"/>
        <v>85.175964297074955</v>
      </c>
      <c r="Z97">
        <f t="shared" si="20"/>
        <v>-6.3667473312717338</v>
      </c>
      <c r="AA97">
        <f t="shared" si="21"/>
        <v>-6.3667473312717338</v>
      </c>
    </row>
    <row r="98" spans="1:27" x14ac:dyDescent="0.3">
      <c r="A98">
        <v>0.31975847058823498</v>
      </c>
      <c r="B98">
        <v>0.74358999999999997</v>
      </c>
      <c r="C98">
        <v>0.96380076470588205</v>
      </c>
      <c r="D98">
        <v>0.86705882352941199</v>
      </c>
      <c r="E98">
        <v>0.68647058823529405</v>
      </c>
      <c r="F98">
        <v>-3.1117647058823499</v>
      </c>
      <c r="G98">
        <v>-4.9833464705882399E-3</v>
      </c>
      <c r="H98">
        <v>-2.94548405882353E-2</v>
      </c>
      <c r="I98">
        <v>-1.96461317647059E-2</v>
      </c>
      <c r="J98">
        <v>-112.764705882353</v>
      </c>
      <c r="K98">
        <v>-328.76470588235298</v>
      </c>
      <c r="L98">
        <v>455.82352941176498</v>
      </c>
      <c r="M98">
        <v>-2434</v>
      </c>
      <c r="N98">
        <v>-7022</v>
      </c>
      <c r="O98">
        <v>9816</v>
      </c>
      <c r="P98">
        <v>1</v>
      </c>
      <c r="Q98">
        <f t="shared" si="11"/>
        <v>-34.254832251468684</v>
      </c>
      <c r="R98">
        <f t="shared" si="12"/>
        <v>0.23449170469259772</v>
      </c>
      <c r="S98">
        <f t="shared" si="13"/>
        <v>48.62117647058826</v>
      </c>
      <c r="T98">
        <f t="shared" si="14"/>
        <v>2.4283468584606785E-3</v>
      </c>
      <c r="U98">
        <f t="shared" si="15"/>
        <v>-0.48567727013660994</v>
      </c>
      <c r="V98">
        <f t="shared" si="16"/>
        <v>0.32126692156862735</v>
      </c>
      <c r="W98">
        <f t="shared" si="17"/>
        <v>-0.16198200170952193</v>
      </c>
      <c r="X98">
        <f t="shared" si="18"/>
        <v>-0.48281383361144442</v>
      </c>
      <c r="Y98">
        <f t="shared" si="19"/>
        <v>151.34199385728562</v>
      </c>
      <c r="Z98">
        <f t="shared" si="20"/>
        <v>-9.685916902645177</v>
      </c>
      <c r="AA98">
        <f t="shared" si="21"/>
        <v>-9.685916902645177</v>
      </c>
    </row>
    <row r="99" spans="1:27" x14ac:dyDescent="0.3">
      <c r="A99">
        <v>0.34389124705882301</v>
      </c>
      <c r="B99">
        <v>0.72096547058823501</v>
      </c>
      <c r="C99">
        <v>0.85369582352941198</v>
      </c>
      <c r="D99">
        <v>0.374117647058823</v>
      </c>
      <c r="E99">
        <v>-0.187647058823529</v>
      </c>
      <c r="F99">
        <v>-2.0729411764705898</v>
      </c>
      <c r="G99">
        <v>5.24184352941177E-3</v>
      </c>
      <c r="H99">
        <v>9.9096588235293996E-4</v>
      </c>
      <c r="I99">
        <v>1.14315294117647E-2</v>
      </c>
      <c r="J99">
        <v>-103.235294117647</v>
      </c>
      <c r="K99">
        <v>-303.35294117647101</v>
      </c>
      <c r="L99">
        <v>427.23529411764702</v>
      </c>
      <c r="M99">
        <v>-1992</v>
      </c>
      <c r="N99">
        <v>-5903</v>
      </c>
      <c r="O99">
        <v>8239</v>
      </c>
      <c r="P99">
        <v>1</v>
      </c>
      <c r="Q99">
        <f t="shared" si="11"/>
        <v>-31.360057695006507</v>
      </c>
      <c r="R99">
        <f t="shared" si="12"/>
        <v>0.21636674201104455</v>
      </c>
      <c r="S99">
        <f t="shared" si="13"/>
        <v>45.571764705882352</v>
      </c>
      <c r="T99">
        <f t="shared" si="14"/>
        <v>2.6116187881158313E-3</v>
      </c>
      <c r="U99">
        <f t="shared" si="15"/>
        <v>-0.47090001427944206</v>
      </c>
      <c r="V99">
        <f t="shared" si="16"/>
        <v>0.28456527450980401</v>
      </c>
      <c r="W99">
        <f t="shared" si="17"/>
        <v>-0.18372312098152221</v>
      </c>
      <c r="X99">
        <f t="shared" si="18"/>
        <v>-0.45947491070290758</v>
      </c>
      <c r="Y99">
        <f t="shared" si="19"/>
        <v>160.14520669953455</v>
      </c>
      <c r="Z99">
        <f t="shared" si="20"/>
        <v>-7.2845893795069205</v>
      </c>
      <c r="AA99">
        <f t="shared" si="21"/>
        <v>-7.2845893795069205</v>
      </c>
    </row>
    <row r="100" spans="1:27" x14ac:dyDescent="0.3">
      <c r="A100">
        <v>0.38264284615384597</v>
      </c>
      <c r="B100">
        <v>0.55226846153846199</v>
      </c>
      <c r="C100">
        <v>0.289940538461538</v>
      </c>
      <c r="D100">
        <v>-0.29230769230769199</v>
      </c>
      <c r="E100">
        <v>-1.02615384692308</v>
      </c>
      <c r="F100">
        <v>18.059999999999999</v>
      </c>
      <c r="G100">
        <v>-3.7560161538461498E-3</v>
      </c>
      <c r="H100">
        <v>4.8640476923076902E-3</v>
      </c>
      <c r="I100">
        <v>1.29582299230769E-2</v>
      </c>
      <c r="J100">
        <v>166.15384615384599</v>
      </c>
      <c r="K100">
        <v>147.461538461538</v>
      </c>
      <c r="L100">
        <v>168.230769230769</v>
      </c>
      <c r="M100">
        <v>2458</v>
      </c>
      <c r="N100">
        <v>2314</v>
      </c>
      <c r="O100">
        <v>2579</v>
      </c>
      <c r="P100">
        <v>1</v>
      </c>
      <c r="Q100">
        <f t="shared" si="11"/>
        <v>50.472992266519327</v>
      </c>
      <c r="R100">
        <f t="shared" si="12"/>
        <v>-0.10517706709920643</v>
      </c>
      <c r="S100">
        <f t="shared" si="13"/>
        <v>17.944615384615361</v>
      </c>
      <c r="T100">
        <f t="shared" si="14"/>
        <v>2.9059106758322498E-3</v>
      </c>
      <c r="U100">
        <f t="shared" si="15"/>
        <v>-0.36071523121955051</v>
      </c>
      <c r="V100">
        <f t="shared" si="16"/>
        <v>9.6646846153846E-2</v>
      </c>
      <c r="W100">
        <f t="shared" si="17"/>
        <v>-0.26116247438987228</v>
      </c>
      <c r="X100">
        <f t="shared" si="18"/>
        <v>0.29157922370954742</v>
      </c>
      <c r="Y100">
        <f t="shared" si="19"/>
        <v>185.67202240671634</v>
      </c>
      <c r="Z100">
        <f t="shared" si="20"/>
        <v>186.86590115161573</v>
      </c>
      <c r="AA100">
        <f t="shared" si="21"/>
        <v>186.86590115161573</v>
      </c>
    </row>
    <row r="101" spans="1:27" x14ac:dyDescent="0.3">
      <c r="A101">
        <v>0.41025623076923101</v>
      </c>
      <c r="B101">
        <v>0.27810623076923102</v>
      </c>
      <c r="C101">
        <v>0.27021669230769202</v>
      </c>
      <c r="D101">
        <v>9.9053846153846106</v>
      </c>
      <c r="E101">
        <v>1.65846153846154</v>
      </c>
      <c r="F101">
        <v>15.4869230769231</v>
      </c>
      <c r="G101">
        <v>-1.6855088461538499E-2</v>
      </c>
      <c r="H101">
        <v>-7.8312892307692301E-3</v>
      </c>
      <c r="I101">
        <v>4.2048519999999999E-2</v>
      </c>
      <c r="J101">
        <v>159.92307692307699</v>
      </c>
      <c r="K101">
        <v>168.230769230769</v>
      </c>
      <c r="L101">
        <v>168.230769230769</v>
      </c>
      <c r="M101">
        <v>2204</v>
      </c>
      <c r="N101">
        <v>2304</v>
      </c>
      <c r="O101">
        <v>2297</v>
      </c>
      <c r="P101">
        <v>1</v>
      </c>
      <c r="Q101">
        <f t="shared" si="11"/>
        <v>48.580255056524919</v>
      </c>
      <c r="R101">
        <f t="shared" si="12"/>
        <v>-0.11999073852163009</v>
      </c>
      <c r="S101">
        <f t="shared" si="13"/>
        <v>17.944615384615361</v>
      </c>
      <c r="T101">
        <f t="shared" si="14"/>
        <v>3.115615443492919E-3</v>
      </c>
      <c r="U101">
        <f t="shared" si="15"/>
        <v>-0.18164563128603425</v>
      </c>
      <c r="V101">
        <f t="shared" si="16"/>
        <v>9.0072230769230668E-2</v>
      </c>
      <c r="W101">
        <f t="shared" si="17"/>
        <v>-8.845778507331066E-2</v>
      </c>
      <c r="X101">
        <f t="shared" si="18"/>
        <v>0.66057596690934306</v>
      </c>
      <c r="Y101">
        <f t="shared" si="19"/>
        <v>199.22472477216999</v>
      </c>
      <c r="Z101">
        <f t="shared" si="20"/>
        <v>171.93893106301911</v>
      </c>
      <c r="AA101">
        <f t="shared" si="21"/>
        <v>171.93893106301911</v>
      </c>
    </row>
    <row r="102" spans="1:27" x14ac:dyDescent="0.3">
      <c r="A102">
        <v>0.23668615384615399</v>
      </c>
      <c r="B102">
        <v>0.46548323076923098</v>
      </c>
      <c r="C102">
        <v>0.260354769230769</v>
      </c>
      <c r="D102">
        <v>0.261538461538462</v>
      </c>
      <c r="E102">
        <v>-1.1146153846153799</v>
      </c>
      <c r="F102">
        <v>16.23</v>
      </c>
      <c r="G102">
        <v>-6.0096029230769198E-3</v>
      </c>
      <c r="H102">
        <v>-3.8874639230769199E-3</v>
      </c>
      <c r="I102">
        <v>8.8266293076923099E-3</v>
      </c>
      <c r="J102">
        <v>149.538461538462</v>
      </c>
      <c r="K102">
        <v>149.538461538462</v>
      </c>
      <c r="L102">
        <v>153.69230769230799</v>
      </c>
      <c r="M102">
        <v>2331</v>
      </c>
      <c r="N102">
        <v>2168</v>
      </c>
      <c r="O102">
        <v>2356</v>
      </c>
      <c r="P102">
        <v>1</v>
      </c>
      <c r="Q102">
        <f t="shared" si="11"/>
        <v>45.425693039867582</v>
      </c>
      <c r="R102">
        <f t="shared" si="12"/>
        <v>-0.10665843424144944</v>
      </c>
      <c r="S102">
        <f t="shared" si="13"/>
        <v>16.393846153846184</v>
      </c>
      <c r="T102">
        <f t="shared" si="14"/>
        <v>1.7974694370914224E-3</v>
      </c>
      <c r="U102">
        <f t="shared" si="15"/>
        <v>-0.30403128715336375</v>
      </c>
      <c r="V102">
        <f t="shared" si="16"/>
        <v>8.6784923076922996E-2</v>
      </c>
      <c r="W102">
        <f t="shared" si="17"/>
        <v>-0.21544889463934935</v>
      </c>
      <c r="X102">
        <f t="shared" si="18"/>
        <v>0.35081400746643315</v>
      </c>
      <c r="Y102">
        <f t="shared" si="19"/>
        <v>188.90200708382579</v>
      </c>
      <c r="Z102">
        <f t="shared" si="20"/>
        <v>187.01405065041448</v>
      </c>
      <c r="AA102">
        <f t="shared" si="21"/>
        <v>187.01405065041448</v>
      </c>
    </row>
    <row r="103" spans="1:27" x14ac:dyDescent="0.3">
      <c r="A103">
        <v>0.39487159999999999</v>
      </c>
      <c r="B103">
        <v>0.42051253333333299</v>
      </c>
      <c r="C103">
        <v>0.36581166666666698</v>
      </c>
      <c r="D103">
        <v>-0.357333333333333</v>
      </c>
      <c r="E103">
        <v>-1.6559999999999999</v>
      </c>
      <c r="F103">
        <v>36.518000000000001</v>
      </c>
      <c r="G103">
        <v>-5.7291720000000003E-3</v>
      </c>
      <c r="H103">
        <v>2.0849607999999999E-2</v>
      </c>
      <c r="I103">
        <v>1.7382792000000001E-2</v>
      </c>
      <c r="J103">
        <v>349.2</v>
      </c>
      <c r="K103">
        <v>347.4</v>
      </c>
      <c r="L103">
        <v>354.6</v>
      </c>
      <c r="M103">
        <v>5664</v>
      </c>
      <c r="N103">
        <v>5621</v>
      </c>
      <c r="O103">
        <v>5715</v>
      </c>
      <c r="P103">
        <v>1</v>
      </c>
      <c r="Q103">
        <f t="shared" si="11"/>
        <v>106.07740541346821</v>
      </c>
      <c r="R103">
        <f t="shared" si="12"/>
        <v>-0.24778334399240351</v>
      </c>
      <c r="S103">
        <f t="shared" si="13"/>
        <v>37.823999999999998</v>
      </c>
      <c r="T103">
        <f t="shared" si="14"/>
        <v>2.9987796964107143E-3</v>
      </c>
      <c r="U103">
        <f t="shared" si="15"/>
        <v>-0.27465858772652046</v>
      </c>
      <c r="V103">
        <f t="shared" si="16"/>
        <v>0.12193722222222232</v>
      </c>
      <c r="W103">
        <f t="shared" si="17"/>
        <v>-0.14972258580788744</v>
      </c>
      <c r="X103">
        <f t="shared" si="18"/>
        <v>0.90215036072028143</v>
      </c>
      <c r="Y103">
        <f t="shared" si="19"/>
        <v>310.19240319472198</v>
      </c>
      <c r="Z103">
        <f t="shared" si="20"/>
        <v>299.4819738754457</v>
      </c>
      <c r="AA103">
        <f t="shared" si="21"/>
        <v>299.4819738754457</v>
      </c>
    </row>
    <row r="104" spans="1:27" x14ac:dyDescent="0.3">
      <c r="A104">
        <v>0.35384593333333297</v>
      </c>
      <c r="B104">
        <v>0.439316066666667</v>
      </c>
      <c r="C104">
        <v>0.33162367333333298</v>
      </c>
      <c r="D104">
        <v>0.108</v>
      </c>
      <c r="E104">
        <v>-1.002</v>
      </c>
      <c r="F104">
        <v>36.2886666666667</v>
      </c>
      <c r="G104">
        <v>1.6552752666666701E-2</v>
      </c>
      <c r="H104">
        <v>9.5540386666666706E-3</v>
      </c>
      <c r="I104">
        <v>1.1425774666666701E-2</v>
      </c>
      <c r="J104">
        <v>351</v>
      </c>
      <c r="K104">
        <v>351</v>
      </c>
      <c r="L104">
        <v>352.8</v>
      </c>
      <c r="M104">
        <v>5732</v>
      </c>
      <c r="N104">
        <v>5673</v>
      </c>
      <c r="O104">
        <v>5717</v>
      </c>
      <c r="P104">
        <v>1</v>
      </c>
      <c r="Q104">
        <f t="shared" si="11"/>
        <v>106.62419616302218</v>
      </c>
      <c r="R104">
        <f t="shared" si="12"/>
        <v>-0.25035104703895694</v>
      </c>
      <c r="S104">
        <f t="shared" si="13"/>
        <v>37.631999999999998</v>
      </c>
      <c r="T104">
        <f t="shared" si="14"/>
        <v>2.6872178210271343E-3</v>
      </c>
      <c r="U104">
        <f t="shared" si="15"/>
        <v>-0.28694015248432575</v>
      </c>
      <c r="V104">
        <f t="shared" si="16"/>
        <v>0.11054122444444432</v>
      </c>
      <c r="W104">
        <f t="shared" si="17"/>
        <v>-0.17371171021885429</v>
      </c>
      <c r="X104">
        <f t="shared" si="18"/>
        <v>0.87248523732708516</v>
      </c>
      <c r="Y104">
        <f t="shared" si="19"/>
        <v>340.43407958551285</v>
      </c>
      <c r="Z104">
        <f t="shared" si="20"/>
        <v>328.2817505328486</v>
      </c>
      <c r="AA104">
        <f t="shared" si="21"/>
        <v>328.2817505328486</v>
      </c>
    </row>
    <row r="105" spans="1:27" x14ac:dyDescent="0.3">
      <c r="A105">
        <v>0.24957247333333299</v>
      </c>
      <c r="B105">
        <v>0.45128206666666698</v>
      </c>
      <c r="C105">
        <v>0.437606733333333</v>
      </c>
      <c r="D105">
        <v>-0.351333333333333</v>
      </c>
      <c r="E105">
        <v>-1.4606666666666701</v>
      </c>
      <c r="F105">
        <v>34.901333333333298</v>
      </c>
      <c r="G105">
        <v>2.1761083333333299E-2</v>
      </c>
      <c r="H105">
        <v>2.3535146400000002E-2</v>
      </c>
      <c r="I105">
        <v>1.69108033333333E-2</v>
      </c>
      <c r="J105">
        <v>334.8</v>
      </c>
      <c r="K105">
        <v>327.60000000000002</v>
      </c>
      <c r="L105">
        <v>327.60000000000002</v>
      </c>
      <c r="M105">
        <v>5808</v>
      </c>
      <c r="N105">
        <v>5710</v>
      </c>
      <c r="O105">
        <v>5658</v>
      </c>
      <c r="P105">
        <v>1</v>
      </c>
      <c r="Q105">
        <f t="shared" si="11"/>
        <v>101.70307941703655</v>
      </c>
      <c r="R105">
        <f t="shared" si="12"/>
        <v>-0.23366097723635984</v>
      </c>
      <c r="S105">
        <f t="shared" si="13"/>
        <v>34.944000000000003</v>
      </c>
      <c r="T105">
        <f t="shared" si="14"/>
        <v>1.8953322189162335E-3</v>
      </c>
      <c r="U105">
        <f t="shared" si="15"/>
        <v>-0.29475576890527633</v>
      </c>
      <c r="V105">
        <f t="shared" si="16"/>
        <v>0.145868911111111</v>
      </c>
      <c r="W105">
        <f t="shared" si="17"/>
        <v>-0.14699152557524908</v>
      </c>
      <c r="X105">
        <f t="shared" si="18"/>
        <v>0.79272740989659773</v>
      </c>
      <c r="Y105">
        <f t="shared" si="19"/>
        <v>239.55755708207434</v>
      </c>
      <c r="Z105">
        <f t="shared" si="20"/>
        <v>239.26505701237681</v>
      </c>
      <c r="AA105">
        <f t="shared" si="21"/>
        <v>239.26505701237681</v>
      </c>
    </row>
    <row r="106" spans="1:27" x14ac:dyDescent="0.3">
      <c r="A106">
        <v>0.42948713124999999</v>
      </c>
      <c r="B106">
        <v>0.42307675</v>
      </c>
      <c r="C106">
        <v>0.389422875</v>
      </c>
      <c r="D106">
        <v>-1.0237499999999999</v>
      </c>
      <c r="E106">
        <v>-5.1762499999999996</v>
      </c>
      <c r="F106">
        <v>75.621250000000003</v>
      </c>
      <c r="G106">
        <v>-1.3473466999999999E-2</v>
      </c>
      <c r="H106">
        <v>1.4099187500000001E-2</v>
      </c>
      <c r="I106">
        <v>-1.9943193750000001E-2</v>
      </c>
      <c r="J106">
        <v>750.9375</v>
      </c>
      <c r="K106">
        <v>756</v>
      </c>
      <c r="L106">
        <v>762.75</v>
      </c>
      <c r="M106">
        <v>14020</v>
      </c>
      <c r="N106">
        <v>14081</v>
      </c>
      <c r="O106">
        <v>14058</v>
      </c>
      <c r="P106">
        <v>1</v>
      </c>
      <c r="Q106">
        <f t="shared" si="11"/>
        <v>228.11426582954266</v>
      </c>
      <c r="R106">
        <f t="shared" si="12"/>
        <v>-0.53921763977621495</v>
      </c>
      <c r="S106">
        <f t="shared" si="13"/>
        <v>81.36</v>
      </c>
      <c r="T106">
        <f t="shared" si="14"/>
        <v>3.2616609780551035E-3</v>
      </c>
      <c r="U106">
        <f t="shared" si="15"/>
        <v>-0.2763334108827028</v>
      </c>
      <c r="V106">
        <f t="shared" si="16"/>
        <v>0.12980762500000001</v>
      </c>
      <c r="W106">
        <f t="shared" si="17"/>
        <v>-0.14326412490464771</v>
      </c>
      <c r="X106">
        <f t="shared" si="18"/>
        <v>1.9513298737701337</v>
      </c>
      <c r="Y106">
        <f t="shared" si="19"/>
        <v>626.77365832708199</v>
      </c>
      <c r="Z106">
        <f t="shared" si="20"/>
        <v>582.5640057739289</v>
      </c>
      <c r="AA106">
        <f t="shared" si="21"/>
        <v>582.5640057739289</v>
      </c>
    </row>
    <row r="107" spans="1:27" x14ac:dyDescent="0.3">
      <c r="A107">
        <v>0.41987168749999998</v>
      </c>
      <c r="B107">
        <v>0.51602574999999995</v>
      </c>
      <c r="C107">
        <v>0.3541665</v>
      </c>
      <c r="D107">
        <v>-0.170625</v>
      </c>
      <c r="E107">
        <v>-4.6906249999999998</v>
      </c>
      <c r="F107">
        <v>74.286874999999995</v>
      </c>
      <c r="G107">
        <v>-3.128120625E-3</v>
      </c>
      <c r="H107">
        <v>-8.3160374999999998E-3</v>
      </c>
      <c r="I107">
        <v>-3.1677259375000003E-2</v>
      </c>
      <c r="J107">
        <v>747.5625</v>
      </c>
      <c r="K107">
        <v>744.1875</v>
      </c>
      <c r="L107">
        <v>757.6875</v>
      </c>
      <c r="M107">
        <v>12229</v>
      </c>
      <c r="N107">
        <v>12152</v>
      </c>
      <c r="O107">
        <v>12262</v>
      </c>
      <c r="P107">
        <v>1</v>
      </c>
      <c r="Q107">
        <f t="shared" si="11"/>
        <v>227.08903317412899</v>
      </c>
      <c r="R107">
        <f t="shared" si="12"/>
        <v>-0.53079236415471165</v>
      </c>
      <c r="S107">
        <f t="shared" si="13"/>
        <v>80.819999999999993</v>
      </c>
      <c r="T107">
        <f t="shared" si="14"/>
        <v>3.1886382600640416E-3</v>
      </c>
      <c r="U107">
        <f t="shared" si="15"/>
        <v>-0.33704323293777044</v>
      </c>
      <c r="V107">
        <f t="shared" si="16"/>
        <v>0.11805549999999999</v>
      </c>
      <c r="W107">
        <f t="shared" si="17"/>
        <v>-0.21579909467770642</v>
      </c>
      <c r="X107">
        <f t="shared" si="18"/>
        <v>1.5748494919425184</v>
      </c>
      <c r="Y107">
        <f t="shared" si="19"/>
        <v>684.5932633380063</v>
      </c>
      <c r="Z107">
        <f t="shared" si="20"/>
        <v>629.25382553121199</v>
      </c>
      <c r="AA107">
        <f t="shared" si="21"/>
        <v>629.25382553121199</v>
      </c>
    </row>
    <row r="108" spans="1:27" x14ac:dyDescent="0.3">
      <c r="A108">
        <v>0.2003204375</v>
      </c>
      <c r="B108">
        <v>0.33493583124999998</v>
      </c>
      <c r="C108">
        <v>0.21153831249999999</v>
      </c>
      <c r="D108">
        <v>-9.3749999999999407E-3</v>
      </c>
      <c r="E108">
        <v>-3.5093749999999999</v>
      </c>
      <c r="F108">
        <v>41.838124999999998</v>
      </c>
      <c r="G108">
        <v>3.4210133125E-2</v>
      </c>
      <c r="H108">
        <v>-1.988228375E-2</v>
      </c>
      <c r="I108">
        <v>-3.5278250625E-2</v>
      </c>
      <c r="J108">
        <v>378</v>
      </c>
      <c r="K108">
        <v>374.625</v>
      </c>
      <c r="L108">
        <v>384.75</v>
      </c>
      <c r="M108">
        <v>6889</v>
      </c>
      <c r="N108">
        <v>6788</v>
      </c>
      <c r="O108">
        <v>6867</v>
      </c>
      <c r="P108">
        <v>1</v>
      </c>
      <c r="Q108">
        <f t="shared" si="11"/>
        <v>114.82605740633159</v>
      </c>
      <c r="R108">
        <f t="shared" si="12"/>
        <v>-0.26720159828196366</v>
      </c>
      <c r="S108">
        <f t="shared" si="13"/>
        <v>41.04</v>
      </c>
      <c r="T108">
        <f t="shared" si="14"/>
        <v>1.521296696827808E-3</v>
      </c>
      <c r="U108">
        <f t="shared" si="15"/>
        <v>-0.21876399654707063</v>
      </c>
      <c r="V108">
        <f t="shared" si="16"/>
        <v>7.0512770833333335E-2</v>
      </c>
      <c r="W108">
        <f t="shared" si="17"/>
        <v>-0.14672992901690951</v>
      </c>
      <c r="X108">
        <f t="shared" si="18"/>
        <v>1.2214148694457174</v>
      </c>
      <c r="Y108">
        <f t="shared" si="19"/>
        <v>582.02222824293347</v>
      </c>
      <c r="Z108">
        <f t="shared" si="20"/>
        <v>593.34109985395662</v>
      </c>
      <c r="AA108">
        <f t="shared" si="21"/>
        <v>593.34109985395662</v>
      </c>
    </row>
    <row r="109" spans="1:27" x14ac:dyDescent="0.3">
      <c r="A109">
        <v>0.50427346666666695</v>
      </c>
      <c r="B109">
        <v>2.9059813333333299E-2</v>
      </c>
      <c r="C109">
        <v>0.34700826666666701</v>
      </c>
      <c r="D109">
        <v>0.33</v>
      </c>
      <c r="E109">
        <v>0.15333333333333299</v>
      </c>
      <c r="F109">
        <v>0.60799999999999998</v>
      </c>
      <c r="G109">
        <v>-4.8665479333333296E-3</v>
      </c>
      <c r="H109">
        <v>-1.6943397333333301E-2</v>
      </c>
      <c r="I109">
        <v>-5.8756582666666703E-3</v>
      </c>
      <c r="J109">
        <v>-291.60000000000002</v>
      </c>
      <c r="K109">
        <v>0</v>
      </c>
      <c r="L109">
        <v>298.8</v>
      </c>
      <c r="M109">
        <v>-4704</v>
      </c>
      <c r="N109">
        <v>-1</v>
      </c>
      <c r="O109">
        <v>4853</v>
      </c>
      <c r="P109">
        <v>2</v>
      </c>
      <c r="Q109">
        <f t="shared" si="11"/>
        <v>-88.580101427741511</v>
      </c>
      <c r="R109">
        <f t="shared" si="12"/>
        <v>0</v>
      </c>
      <c r="S109">
        <f t="shared" si="13"/>
        <v>31.872</v>
      </c>
      <c r="T109">
        <f t="shared" si="14"/>
        <v>3.8296120391505643E-3</v>
      </c>
      <c r="U109">
        <f t="shared" si="15"/>
        <v>-1.8980474200046768E-2</v>
      </c>
      <c r="V109">
        <f t="shared" si="16"/>
        <v>0.11566942222222233</v>
      </c>
      <c r="W109">
        <f t="shared" si="17"/>
        <v>0.10051856006132613</v>
      </c>
      <c r="X109">
        <f t="shared" si="18"/>
        <v>0</v>
      </c>
      <c r="Y109">
        <f t="shared" si="19"/>
        <v>275.54386792706543</v>
      </c>
      <c r="Z109">
        <f t="shared" si="20"/>
        <v>5.2563589263195212</v>
      </c>
      <c r="AA109">
        <f t="shared" si="21"/>
        <v>5.2563589263195212</v>
      </c>
    </row>
    <row r="110" spans="1:27" x14ac:dyDescent="0.3">
      <c r="A110">
        <v>0.45641013333333302</v>
      </c>
      <c r="B110">
        <v>8.5470066666666691E-3</v>
      </c>
      <c r="C110">
        <v>0.30940147333333301</v>
      </c>
      <c r="D110">
        <v>-0.15866666666666701</v>
      </c>
      <c r="E110">
        <v>0.178666672666667</v>
      </c>
      <c r="F110">
        <v>0.172666666666667</v>
      </c>
      <c r="G110">
        <v>-2.5553246666666701E-3</v>
      </c>
      <c r="H110">
        <v>7.1614653333333302E-3</v>
      </c>
      <c r="I110">
        <v>1.58854264E-2</v>
      </c>
      <c r="J110">
        <v>-293.39999999999998</v>
      </c>
      <c r="K110">
        <v>-3.6</v>
      </c>
      <c r="L110">
        <v>300.60000000000002</v>
      </c>
      <c r="M110">
        <v>-4763</v>
      </c>
      <c r="N110">
        <v>-14</v>
      </c>
      <c r="O110">
        <v>4870</v>
      </c>
      <c r="P110">
        <v>2</v>
      </c>
      <c r="Q110">
        <f t="shared" si="11"/>
        <v>-89.126892177295446</v>
      </c>
      <c r="R110">
        <f t="shared" si="12"/>
        <v>2.5677030465534045E-3</v>
      </c>
      <c r="S110">
        <f t="shared" si="13"/>
        <v>32.064</v>
      </c>
      <c r="T110">
        <f t="shared" si="14"/>
        <v>3.4661227626299434E-3</v>
      </c>
      <c r="U110">
        <f t="shared" si="15"/>
        <v>-5.5824942047446495E-3</v>
      </c>
      <c r="V110">
        <f t="shared" si="16"/>
        <v>0.10313382444444434</v>
      </c>
      <c r="W110">
        <f t="shared" si="17"/>
        <v>0.10101745300232963</v>
      </c>
      <c r="X110">
        <f t="shared" si="18"/>
        <v>-0.45995624041509497</v>
      </c>
      <c r="Y110">
        <f t="shared" si="19"/>
        <v>310.89703278939385</v>
      </c>
      <c r="Z110">
        <f t="shared" si="20"/>
        <v>1.6742001724146116</v>
      </c>
      <c r="AA110">
        <f t="shared" si="21"/>
        <v>1.6742001724146116</v>
      </c>
    </row>
    <row r="111" spans="1:27" x14ac:dyDescent="0.3">
      <c r="A111">
        <v>0.32991426666666701</v>
      </c>
      <c r="B111">
        <v>1.0256400000000001E-2</v>
      </c>
      <c r="C111">
        <v>0.33333306666666701</v>
      </c>
      <c r="D111">
        <v>0.669333333333333</v>
      </c>
      <c r="E111">
        <v>0.308</v>
      </c>
      <c r="F111">
        <v>0.119333326666667</v>
      </c>
      <c r="G111">
        <v>7.4381580000000003E-3</v>
      </c>
      <c r="H111">
        <v>4.2317333333333402E-4</v>
      </c>
      <c r="I111">
        <v>1.5087878000000001E-2</v>
      </c>
      <c r="J111">
        <v>-300.60000000000002</v>
      </c>
      <c r="K111">
        <v>1.8</v>
      </c>
      <c r="L111">
        <v>306</v>
      </c>
      <c r="M111">
        <v>-4863</v>
      </c>
      <c r="N111">
        <v>-1</v>
      </c>
      <c r="O111">
        <v>4906</v>
      </c>
      <c r="P111">
        <v>2</v>
      </c>
      <c r="Q111">
        <f t="shared" si="11"/>
        <v>-91.314055175511314</v>
      </c>
      <c r="R111">
        <f t="shared" si="12"/>
        <v>-1.2838515232767023E-3</v>
      </c>
      <c r="S111">
        <f t="shared" si="13"/>
        <v>32.64</v>
      </c>
      <c r="T111">
        <f t="shared" si="14"/>
        <v>2.5054731827668314E-3</v>
      </c>
      <c r="U111">
        <f t="shared" si="15"/>
        <v>-6.6989878204778532E-3</v>
      </c>
      <c r="V111">
        <f t="shared" si="16"/>
        <v>0.11111102222222234</v>
      </c>
      <c r="W111">
        <f t="shared" si="17"/>
        <v>0.10691750758451132</v>
      </c>
      <c r="X111">
        <f t="shared" si="18"/>
        <v>0.19164858299221724</v>
      </c>
      <c r="Y111">
        <f t="shared" si="19"/>
        <v>293.76023500818769</v>
      </c>
      <c r="Z111">
        <f t="shared" si="20"/>
        <v>1.0740007992006413</v>
      </c>
      <c r="AA111">
        <f t="shared" si="21"/>
        <v>1.0740007992006413</v>
      </c>
    </row>
    <row r="112" spans="1:27" x14ac:dyDescent="0.3">
      <c r="A112">
        <v>0.24358950625</v>
      </c>
      <c r="B112">
        <v>0.33333318750000002</v>
      </c>
      <c r="C112">
        <v>0.16185882500000001</v>
      </c>
      <c r="D112">
        <v>0.46812500000000001</v>
      </c>
      <c r="E112">
        <v>-0.22562499999999999</v>
      </c>
      <c r="F112">
        <v>0.50125000625000005</v>
      </c>
      <c r="G112">
        <v>-9.2315690000000002E-3</v>
      </c>
      <c r="H112">
        <v>1.33514285625E-2</v>
      </c>
      <c r="I112">
        <v>5.9661837500000004E-3</v>
      </c>
      <c r="J112">
        <v>170.4375</v>
      </c>
      <c r="K112">
        <v>-351</v>
      </c>
      <c r="L112">
        <v>175.5</v>
      </c>
      <c r="M112">
        <v>3234</v>
      </c>
      <c r="N112">
        <v>-6589</v>
      </c>
      <c r="O112">
        <v>3261</v>
      </c>
      <c r="P112">
        <v>2</v>
      </c>
      <c r="Q112">
        <f t="shared" si="11"/>
        <v>51.774249098390577</v>
      </c>
      <c r="R112">
        <f t="shared" si="12"/>
        <v>0.25035104703895694</v>
      </c>
      <c r="S112">
        <f t="shared" si="13"/>
        <v>18.72</v>
      </c>
      <c r="T112">
        <f t="shared" si="14"/>
        <v>1.8498956764710626E-3</v>
      </c>
      <c r="U112">
        <f t="shared" si="15"/>
        <v>-0.21771722663152376</v>
      </c>
      <c r="V112">
        <f t="shared" si="16"/>
        <v>5.3952941666666671E-2</v>
      </c>
      <c r="W112">
        <f t="shared" si="17"/>
        <v>-0.16191438928838603</v>
      </c>
      <c r="X112">
        <f t="shared" si="18"/>
        <v>-1.1498908511390529</v>
      </c>
      <c r="Y112">
        <f t="shared" si="19"/>
        <v>346.96903304469186</v>
      </c>
      <c r="Z112">
        <f t="shared" si="20"/>
        <v>9.2905037383658264</v>
      </c>
      <c r="AA112">
        <f t="shared" si="21"/>
        <v>9.2905037383658264</v>
      </c>
    </row>
    <row r="113" spans="1:27" x14ac:dyDescent="0.3">
      <c r="A113">
        <v>0.19070494374999999</v>
      </c>
      <c r="B113">
        <v>0.33012806249999999</v>
      </c>
      <c r="C113">
        <v>0.24679462499999999</v>
      </c>
      <c r="D113">
        <v>5.8125000000000003E-2</v>
      </c>
      <c r="E113">
        <v>-0.139375</v>
      </c>
      <c r="F113">
        <v>-6.8125000000000005E-2</v>
      </c>
      <c r="G113">
        <v>-2.0568843125E-2</v>
      </c>
      <c r="H113">
        <v>-2.9815668812500001E-2</v>
      </c>
      <c r="I113">
        <v>-1.8630984999999999E-2</v>
      </c>
      <c r="J113">
        <v>172.125</v>
      </c>
      <c r="K113">
        <v>-352.6875</v>
      </c>
      <c r="L113">
        <v>180.5625</v>
      </c>
      <c r="M113">
        <v>3023</v>
      </c>
      <c r="N113">
        <v>-6186</v>
      </c>
      <c r="O113">
        <v>3024</v>
      </c>
      <c r="P113">
        <v>2</v>
      </c>
      <c r="Q113">
        <f t="shared" si="11"/>
        <v>52.286865426097421</v>
      </c>
      <c r="R113">
        <f t="shared" si="12"/>
        <v>0.25155465784202885</v>
      </c>
      <c r="S113">
        <f t="shared" si="13"/>
        <v>19.260000000000002</v>
      </c>
      <c r="T113">
        <f t="shared" si="14"/>
        <v>1.4482735991209481E-3</v>
      </c>
      <c r="U113">
        <f t="shared" si="15"/>
        <v>-0.21562379293762443</v>
      </c>
      <c r="V113">
        <f t="shared" si="16"/>
        <v>8.2264875000000001E-2</v>
      </c>
      <c r="W113">
        <f t="shared" si="17"/>
        <v>-0.13191064433850347</v>
      </c>
      <c r="X113">
        <f t="shared" si="18"/>
        <v>-1.1666368280368693</v>
      </c>
      <c r="Y113">
        <f t="shared" si="19"/>
        <v>234.12179256335102</v>
      </c>
      <c r="Z113">
        <f t="shared" si="20"/>
        <v>-0.82811771123459443</v>
      </c>
      <c r="AA113">
        <f t="shared" si="21"/>
        <v>-0.82811771123459443</v>
      </c>
    </row>
    <row r="114" spans="1:27" x14ac:dyDescent="0.3">
      <c r="A114">
        <v>0.14102557499999999</v>
      </c>
      <c r="B114">
        <v>0.2291665</v>
      </c>
      <c r="C114">
        <v>0.124999875</v>
      </c>
      <c r="D114">
        <v>-5.2499999999999998E-2</v>
      </c>
      <c r="E114">
        <v>0.27749999937499997</v>
      </c>
      <c r="F114">
        <v>0.53187499999999999</v>
      </c>
      <c r="G114">
        <v>-8.4228475000000004E-3</v>
      </c>
      <c r="H114">
        <v>2.6855449999999999E-2</v>
      </c>
      <c r="I114">
        <v>-1.322936425E-2</v>
      </c>
      <c r="J114">
        <v>91.125</v>
      </c>
      <c r="K114">
        <v>-178.875</v>
      </c>
      <c r="L114">
        <v>87.75</v>
      </c>
      <c r="M114">
        <v>1602</v>
      </c>
      <c r="N114">
        <v>-3358</v>
      </c>
      <c r="O114">
        <v>1617</v>
      </c>
      <c r="P114">
        <v>2</v>
      </c>
      <c r="Q114">
        <f t="shared" si="11"/>
        <v>27.681281696169222</v>
      </c>
      <c r="R114">
        <f t="shared" si="12"/>
        <v>0.12758274512562229</v>
      </c>
      <c r="S114">
        <f t="shared" si="13"/>
        <v>9.36</v>
      </c>
      <c r="T114">
        <f t="shared" si="14"/>
        <v>1.0709927758406693E-3</v>
      </c>
      <c r="U114">
        <f t="shared" si="15"/>
        <v>-0.14968054993579988</v>
      </c>
      <c r="V114">
        <f t="shared" si="16"/>
        <v>4.1666624999999999E-2</v>
      </c>
      <c r="W114">
        <f t="shared" si="17"/>
        <v>-0.10694293215995922</v>
      </c>
      <c r="X114">
        <f t="shared" si="18"/>
        <v>-0.85236689189306392</v>
      </c>
      <c r="Y114">
        <f t="shared" si="19"/>
        <v>224.64022464022463</v>
      </c>
      <c r="Z114">
        <f t="shared" si="20"/>
        <v>12.765012765012765</v>
      </c>
      <c r="AA114">
        <f t="shared" si="21"/>
        <v>12.765012765012765</v>
      </c>
    </row>
    <row r="115" spans="1:27" x14ac:dyDescent="0.3">
      <c r="A115">
        <v>0.165811813333333</v>
      </c>
      <c r="B115">
        <v>0.25299120666666702</v>
      </c>
      <c r="C115">
        <v>0.2461536</v>
      </c>
      <c r="D115">
        <v>0.24866666666666701</v>
      </c>
      <c r="E115">
        <v>-0.192</v>
      </c>
      <c r="F115">
        <v>1.1953333266666699</v>
      </c>
      <c r="G115">
        <v>1.1083978666666701E-2</v>
      </c>
      <c r="H115">
        <v>3.1852204000000002E-2</v>
      </c>
      <c r="I115">
        <v>1.4485348000000001E-3</v>
      </c>
      <c r="J115">
        <v>-118.8</v>
      </c>
      <c r="K115">
        <v>-358.2</v>
      </c>
      <c r="L115">
        <v>502.2</v>
      </c>
      <c r="M115">
        <v>-1873</v>
      </c>
      <c r="N115">
        <v>-5629</v>
      </c>
      <c r="O115">
        <v>7704</v>
      </c>
      <c r="P115">
        <v>2</v>
      </c>
      <c r="Q115">
        <f t="shared" si="11"/>
        <v>-36.088189470561353</v>
      </c>
      <c r="R115">
        <f t="shared" si="12"/>
        <v>0.25548645313206375</v>
      </c>
      <c r="S115">
        <f t="shared" si="13"/>
        <v>53.567999999999998</v>
      </c>
      <c r="T115">
        <f t="shared" si="14"/>
        <v>1.2592273013532561E-3</v>
      </c>
      <c r="U115">
        <f t="shared" si="15"/>
        <v>-0.16524170392613369</v>
      </c>
      <c r="V115">
        <f t="shared" si="16"/>
        <v>8.2051200000000005E-2</v>
      </c>
      <c r="W115">
        <f t="shared" si="17"/>
        <v>-8.1931276624780433E-2</v>
      </c>
      <c r="X115">
        <f t="shared" si="18"/>
        <v>-1.5461378517754287</v>
      </c>
      <c r="Y115">
        <f t="shared" si="19"/>
        <v>652.86065286065275</v>
      </c>
      <c r="Z115">
        <f t="shared" si="20"/>
        <v>14.568139486889526</v>
      </c>
      <c r="AA115">
        <f t="shared" si="21"/>
        <v>14.568139486889526</v>
      </c>
    </row>
    <row r="116" spans="1:27" x14ac:dyDescent="0.3">
      <c r="A116">
        <v>0.218803206666667</v>
      </c>
      <c r="B116">
        <v>0.30598267333333301</v>
      </c>
      <c r="C116">
        <v>0.30256379999999999</v>
      </c>
      <c r="D116">
        <v>0.154</v>
      </c>
      <c r="E116">
        <v>0.49933333333333302</v>
      </c>
      <c r="F116">
        <v>1.22866666733333</v>
      </c>
      <c r="G116">
        <v>3.3821605999999997E-2</v>
      </c>
      <c r="H116">
        <v>-3.7434933333333302E-3</v>
      </c>
      <c r="I116">
        <v>2.24283993333333E-2</v>
      </c>
      <c r="J116">
        <v>-115.2</v>
      </c>
      <c r="K116">
        <v>-352.8</v>
      </c>
      <c r="L116">
        <v>489.6</v>
      </c>
      <c r="M116">
        <v>-2071</v>
      </c>
      <c r="N116">
        <v>-6215</v>
      </c>
      <c r="O116">
        <v>8553</v>
      </c>
      <c r="P116">
        <v>2</v>
      </c>
      <c r="Q116">
        <f t="shared" si="11"/>
        <v>-34.994607971453433</v>
      </c>
      <c r="R116">
        <f t="shared" si="12"/>
        <v>0.25163489856223364</v>
      </c>
      <c r="S116">
        <f t="shared" si="13"/>
        <v>52.223999999999997</v>
      </c>
      <c r="T116">
        <f t="shared" si="14"/>
        <v>1.6616606858066228E-3</v>
      </c>
      <c r="U116">
        <f t="shared" si="15"/>
        <v>-0.19985318454206655</v>
      </c>
      <c r="V116">
        <f t="shared" si="16"/>
        <v>0.1008546</v>
      </c>
      <c r="W116">
        <f t="shared" si="17"/>
        <v>-9.733692385625993E-2</v>
      </c>
      <c r="X116">
        <f t="shared" si="18"/>
        <v>-1.2590987686226622</v>
      </c>
      <c r="Y116">
        <f t="shared" si="19"/>
        <v>517.81475510289067</v>
      </c>
      <c r="Z116">
        <f t="shared" si="20"/>
        <v>12.182554562046054</v>
      </c>
      <c r="AA116">
        <f t="shared" si="21"/>
        <v>12.182554562046054</v>
      </c>
    </row>
    <row r="117" spans="1:27" x14ac:dyDescent="0.3">
      <c r="A117">
        <v>0.2854698</v>
      </c>
      <c r="B117">
        <v>0.26666647999999998</v>
      </c>
      <c r="C117">
        <v>0.25982880666666702</v>
      </c>
      <c r="D117">
        <v>0.64666666666666694</v>
      </c>
      <c r="E117">
        <v>0.206666666666667</v>
      </c>
      <c r="F117">
        <v>1.9019999999999999</v>
      </c>
      <c r="G117">
        <v>1.8831380666666699E-2</v>
      </c>
      <c r="H117">
        <v>1.52506746666667E-2</v>
      </c>
      <c r="I117">
        <v>-1.43066267333333E-2</v>
      </c>
      <c r="J117">
        <v>-113.4</v>
      </c>
      <c r="K117">
        <v>-352.8</v>
      </c>
      <c r="L117">
        <v>496.8</v>
      </c>
      <c r="M117">
        <v>-1854</v>
      </c>
      <c r="N117">
        <v>-5798</v>
      </c>
      <c r="O117">
        <v>7973</v>
      </c>
      <c r="P117">
        <v>2</v>
      </c>
      <c r="Q117">
        <f t="shared" si="11"/>
        <v>-34.447817221899477</v>
      </c>
      <c r="R117">
        <f t="shared" si="12"/>
        <v>0.25163489856223364</v>
      </c>
      <c r="S117">
        <f t="shared" si="13"/>
        <v>52.991999999999997</v>
      </c>
      <c r="T117">
        <f t="shared" si="14"/>
        <v>2.1679478599585973E-3</v>
      </c>
      <c r="U117">
        <f t="shared" si="15"/>
        <v>-0.17417373558458141</v>
      </c>
      <c r="V117">
        <f t="shared" si="16"/>
        <v>8.6609602222222346E-2</v>
      </c>
      <c r="W117">
        <f t="shared" si="17"/>
        <v>-8.5396185502400454E-2</v>
      </c>
      <c r="X117">
        <f t="shared" si="18"/>
        <v>-1.4447350383665389</v>
      </c>
      <c r="Y117">
        <f t="shared" si="19"/>
        <v>611.8490172028902</v>
      </c>
      <c r="Z117">
        <f t="shared" si="20"/>
        <v>21.960613502413519</v>
      </c>
      <c r="AA117">
        <f t="shared" si="21"/>
        <v>21.960613502413519</v>
      </c>
    </row>
    <row r="118" spans="1:27" x14ac:dyDescent="0.3">
      <c r="A118">
        <v>0.17094002666666699</v>
      </c>
      <c r="B118">
        <v>0.25982887999999998</v>
      </c>
      <c r="C118">
        <v>0.147008426666667</v>
      </c>
      <c r="D118">
        <v>0.73733333333333295</v>
      </c>
      <c r="E118">
        <v>-1.2546666666666699</v>
      </c>
      <c r="F118">
        <v>21.956666666666699</v>
      </c>
      <c r="G118">
        <v>-1.14095106666667E-2</v>
      </c>
      <c r="H118">
        <v>4.3782526666666698E-3</v>
      </c>
      <c r="I118">
        <v>5.7128906666666698E-3</v>
      </c>
      <c r="J118">
        <v>180</v>
      </c>
      <c r="K118">
        <v>172.8</v>
      </c>
      <c r="L118">
        <v>171</v>
      </c>
      <c r="M118">
        <v>2791</v>
      </c>
      <c r="N118">
        <v>2784</v>
      </c>
      <c r="O118">
        <v>2883</v>
      </c>
      <c r="P118">
        <v>2</v>
      </c>
      <c r="Q118">
        <f t="shared" si="11"/>
        <v>54.67907495539599</v>
      </c>
      <c r="R118">
        <f t="shared" si="12"/>
        <v>-0.12324974623456343</v>
      </c>
      <c r="S118">
        <f t="shared" si="13"/>
        <v>18.239999999999998</v>
      </c>
      <c r="T118">
        <f t="shared" si="14"/>
        <v>1.298172573747788E-3</v>
      </c>
      <c r="U118">
        <f t="shared" si="15"/>
        <v>-0.16970774370426284</v>
      </c>
      <c r="V118">
        <f t="shared" si="16"/>
        <v>4.9002808888888999E-2</v>
      </c>
      <c r="W118">
        <f t="shared" si="17"/>
        <v>-0.11940676224162605</v>
      </c>
      <c r="X118">
        <f t="shared" si="18"/>
        <v>0.72624703825738013</v>
      </c>
      <c r="Y118">
        <f t="shared" si="19"/>
        <v>372.22356051789052</v>
      </c>
      <c r="Z118">
        <f t="shared" si="20"/>
        <v>448.06955283833128</v>
      </c>
      <c r="AA118">
        <f t="shared" si="21"/>
        <v>448.06955283833128</v>
      </c>
    </row>
    <row r="119" spans="1:27" x14ac:dyDescent="0.3">
      <c r="A119">
        <v>0.31111080000000002</v>
      </c>
      <c r="B119">
        <v>0.2615382</v>
      </c>
      <c r="C119">
        <v>0.205128013333333</v>
      </c>
      <c r="D119">
        <v>0.47066666666666701</v>
      </c>
      <c r="E119">
        <v>-1.2853333333333301</v>
      </c>
      <c r="F119">
        <v>18.616666666666699</v>
      </c>
      <c r="G119">
        <v>-7.7962400000000003E-3</v>
      </c>
      <c r="H119">
        <v>-8.5611860000000001E-3</v>
      </c>
      <c r="I119">
        <v>1.91569053333333E-2</v>
      </c>
      <c r="J119">
        <v>163.80000000000001</v>
      </c>
      <c r="K119">
        <v>165.6</v>
      </c>
      <c r="L119">
        <v>176.4</v>
      </c>
      <c r="M119">
        <v>2736</v>
      </c>
      <c r="N119">
        <v>2774</v>
      </c>
      <c r="O119">
        <v>2860</v>
      </c>
      <c r="P119">
        <v>2</v>
      </c>
      <c r="Q119">
        <f t="shared" si="11"/>
        <v>49.757958209410361</v>
      </c>
      <c r="R119">
        <f t="shared" si="12"/>
        <v>-0.11811434014145661</v>
      </c>
      <c r="S119">
        <f t="shared" si="13"/>
        <v>18.815999999999999</v>
      </c>
      <c r="T119">
        <f t="shared" si="14"/>
        <v>2.3626737156435015E-3</v>
      </c>
      <c r="U119">
        <f t="shared" si="15"/>
        <v>-0.17082418942218525</v>
      </c>
      <c r="V119">
        <f t="shared" si="16"/>
        <v>6.8376004444444333E-2</v>
      </c>
      <c r="W119">
        <f t="shared" si="17"/>
        <v>-0.10008551126209742</v>
      </c>
      <c r="X119">
        <f t="shared" si="18"/>
        <v>0.69143802491309747</v>
      </c>
      <c r="Y119">
        <f t="shared" si="19"/>
        <v>275.18425729728102</v>
      </c>
      <c r="Z119">
        <f t="shared" si="20"/>
        <v>272.26900457152021</v>
      </c>
      <c r="AA119">
        <f t="shared" si="21"/>
        <v>272.26900457152021</v>
      </c>
    </row>
    <row r="120" spans="1:27" x14ac:dyDescent="0.3">
      <c r="A120">
        <v>0.27008520666666702</v>
      </c>
      <c r="B120">
        <v>0.2256408</v>
      </c>
      <c r="C120">
        <v>9.0598226666666698E-2</v>
      </c>
      <c r="D120">
        <v>0.53266666666666695</v>
      </c>
      <c r="E120">
        <v>-0.82000000066666701</v>
      </c>
      <c r="F120">
        <v>21.110666666666699</v>
      </c>
      <c r="G120">
        <v>-2.1175138533333301E-2</v>
      </c>
      <c r="H120">
        <v>-5.2571726666666698E-3</v>
      </c>
      <c r="I120">
        <v>1.3199862E-2</v>
      </c>
      <c r="J120">
        <v>163.80000000000001</v>
      </c>
      <c r="K120">
        <v>171</v>
      </c>
      <c r="L120">
        <v>187.2</v>
      </c>
      <c r="M120">
        <v>2732</v>
      </c>
      <c r="N120">
        <v>2798</v>
      </c>
      <c r="O120">
        <v>2936</v>
      </c>
      <c r="P120">
        <v>2</v>
      </c>
      <c r="Q120">
        <f t="shared" si="11"/>
        <v>49.757958209410361</v>
      </c>
      <c r="R120">
        <f t="shared" si="12"/>
        <v>-0.12196589471128672</v>
      </c>
      <c r="S120">
        <f t="shared" si="13"/>
        <v>19.968</v>
      </c>
      <c r="T120">
        <f t="shared" si="14"/>
        <v>2.051112397176431E-3</v>
      </c>
      <c r="U120">
        <f t="shared" si="15"/>
        <v>-0.14737773205051274</v>
      </c>
      <c r="V120">
        <f t="shared" si="16"/>
        <v>3.01994088888889E-2</v>
      </c>
      <c r="W120">
        <f t="shared" si="17"/>
        <v>-0.11512721076444742</v>
      </c>
      <c r="X120">
        <f t="shared" si="18"/>
        <v>0.82757342655730182</v>
      </c>
      <c r="Y120">
        <f t="shared" si="19"/>
        <v>661.20499488805274</v>
      </c>
      <c r="Z120">
        <f t="shared" si="20"/>
        <v>699.04238007896333</v>
      </c>
      <c r="AA120">
        <f t="shared" si="21"/>
        <v>699.04238007896333</v>
      </c>
    </row>
    <row r="121" spans="1:27" x14ac:dyDescent="0.3">
      <c r="A121">
        <v>0.31452960000000002</v>
      </c>
      <c r="B121">
        <v>0.256410146666667</v>
      </c>
      <c r="C121">
        <v>0.17264942</v>
      </c>
      <c r="D121">
        <v>1.40533333333333</v>
      </c>
      <c r="E121">
        <v>-2.4766666666666701</v>
      </c>
      <c r="F121">
        <v>38.866666666666703</v>
      </c>
      <c r="G121">
        <v>2.5244140000000002E-2</v>
      </c>
      <c r="H121">
        <v>6.9661146666666696E-3</v>
      </c>
      <c r="I121">
        <v>-1.95314666666667E-3</v>
      </c>
      <c r="J121">
        <v>360</v>
      </c>
      <c r="K121">
        <v>356.4</v>
      </c>
      <c r="L121">
        <v>367.2</v>
      </c>
      <c r="M121">
        <v>5785</v>
      </c>
      <c r="N121">
        <v>5862</v>
      </c>
      <c r="O121">
        <v>5911</v>
      </c>
      <c r="P121">
        <v>2</v>
      </c>
      <c r="Q121">
        <f t="shared" si="11"/>
        <v>109.35814991079198</v>
      </c>
      <c r="R121">
        <f t="shared" si="12"/>
        <v>-0.25420260160878705</v>
      </c>
      <c r="S121">
        <f t="shared" si="13"/>
        <v>39.167999999999999</v>
      </c>
      <c r="T121">
        <f t="shared" si="14"/>
        <v>2.3886371630681556E-3</v>
      </c>
      <c r="U121">
        <f t="shared" si="15"/>
        <v>-0.16747479130756815</v>
      </c>
      <c r="V121">
        <f t="shared" si="16"/>
        <v>5.7549806666666668E-2</v>
      </c>
      <c r="W121">
        <f t="shared" si="17"/>
        <v>-0.10753634747783331</v>
      </c>
      <c r="X121">
        <f t="shared" si="18"/>
        <v>1.5178559090839105</v>
      </c>
      <c r="Y121">
        <f t="shared" si="19"/>
        <v>680.59307699962153</v>
      </c>
      <c r="Z121">
        <f t="shared" si="20"/>
        <v>675.35703276616914</v>
      </c>
      <c r="AA121">
        <f t="shared" si="21"/>
        <v>675.35703276616914</v>
      </c>
    </row>
    <row r="122" spans="1:27" x14ac:dyDescent="0.3">
      <c r="A122">
        <v>0.32307673999999997</v>
      </c>
      <c r="B122">
        <v>0.213675013333333</v>
      </c>
      <c r="C122">
        <v>0.191452806666667</v>
      </c>
      <c r="D122">
        <v>1.2333333333333301</v>
      </c>
      <c r="E122">
        <v>-1.968</v>
      </c>
      <c r="F122">
        <v>40.340000000000003</v>
      </c>
      <c r="G122">
        <v>2.2347075333333299E-2</v>
      </c>
      <c r="H122">
        <v>-1.9205710666666698E-2</v>
      </c>
      <c r="I122">
        <v>-7.6823667333333302E-3</v>
      </c>
      <c r="J122">
        <v>358.2</v>
      </c>
      <c r="K122">
        <v>360</v>
      </c>
      <c r="L122">
        <v>358.2</v>
      </c>
      <c r="M122">
        <v>6006</v>
      </c>
      <c r="N122">
        <v>6097</v>
      </c>
      <c r="O122">
        <v>6125</v>
      </c>
      <c r="P122">
        <v>2</v>
      </c>
      <c r="Q122">
        <f t="shared" si="11"/>
        <v>108.81135916123802</v>
      </c>
      <c r="R122">
        <f t="shared" si="12"/>
        <v>-0.25677030465534045</v>
      </c>
      <c r="S122">
        <f t="shared" si="13"/>
        <v>38.207999999999998</v>
      </c>
      <c r="T122">
        <f t="shared" si="14"/>
        <v>2.4535468448340252E-3</v>
      </c>
      <c r="U122">
        <f t="shared" si="15"/>
        <v>-0.13956225496864791</v>
      </c>
      <c r="V122">
        <f t="shared" si="16"/>
        <v>6.3817602222222339E-2</v>
      </c>
      <c r="W122">
        <f t="shared" si="17"/>
        <v>-7.3291105901591533E-2</v>
      </c>
      <c r="X122">
        <f t="shared" si="18"/>
        <v>1.8398262819200137</v>
      </c>
      <c r="Y122">
        <f t="shared" si="19"/>
        <v>598.70629214419694</v>
      </c>
      <c r="Z122">
        <f t="shared" si="20"/>
        <v>632.11400296003217</v>
      </c>
      <c r="AA122">
        <f t="shared" si="21"/>
        <v>632.11400296003217</v>
      </c>
    </row>
    <row r="123" spans="1:27" x14ac:dyDescent="0.3">
      <c r="A123">
        <v>0.18803400000000001</v>
      </c>
      <c r="B123">
        <v>0.19145280000000001</v>
      </c>
      <c r="C123">
        <v>0.222222006666667</v>
      </c>
      <c r="D123">
        <v>2.5333333333333399E-2</v>
      </c>
      <c r="E123">
        <v>-1.6053333333333299</v>
      </c>
      <c r="F123">
        <v>40.691333333333297</v>
      </c>
      <c r="G123">
        <v>-1.9921901333333301E-2</v>
      </c>
      <c r="H123">
        <v>-1.266277E-2</v>
      </c>
      <c r="I123">
        <v>-0.108186748</v>
      </c>
      <c r="J123">
        <v>336.6</v>
      </c>
      <c r="K123">
        <v>336.6</v>
      </c>
      <c r="L123">
        <v>334.8</v>
      </c>
      <c r="M123">
        <v>5516</v>
      </c>
      <c r="N123">
        <v>5545</v>
      </c>
      <c r="O123">
        <v>5459</v>
      </c>
      <c r="P123">
        <v>2</v>
      </c>
      <c r="Q123">
        <f t="shared" si="11"/>
        <v>102.24987016659051</v>
      </c>
      <c r="R123">
        <f t="shared" si="12"/>
        <v>-0.24008023485274335</v>
      </c>
      <c r="S123">
        <f t="shared" si="13"/>
        <v>35.712000000000003</v>
      </c>
      <c r="T123">
        <f t="shared" si="14"/>
        <v>1.4279896083559626E-3</v>
      </c>
      <c r="U123">
        <f t="shared" si="15"/>
        <v>-0.12504777264891992</v>
      </c>
      <c r="V123">
        <f t="shared" si="16"/>
        <v>7.4074002222222338E-2</v>
      </c>
      <c r="W123">
        <f t="shared" si="17"/>
        <v>-4.9545780818341614E-2</v>
      </c>
      <c r="X123">
        <f t="shared" si="18"/>
        <v>1.9199081260470336</v>
      </c>
      <c r="Y123">
        <f t="shared" si="19"/>
        <v>482.11246764909293</v>
      </c>
      <c r="Z123">
        <f t="shared" si="20"/>
        <v>549.33353285352553</v>
      </c>
      <c r="AA123">
        <f t="shared" si="21"/>
        <v>549.33353285352553</v>
      </c>
    </row>
    <row r="124" spans="1:27" x14ac:dyDescent="0.3">
      <c r="A124">
        <v>0.21880327333333299</v>
      </c>
      <c r="B124">
        <v>0.24444434000000001</v>
      </c>
      <c r="C124">
        <v>0.30085454</v>
      </c>
      <c r="D124">
        <v>3.0846666666666702</v>
      </c>
      <c r="E124">
        <v>-5.29</v>
      </c>
      <c r="F124">
        <v>84.9106666666667</v>
      </c>
      <c r="G124">
        <v>-4.6012325933333299E-2</v>
      </c>
      <c r="H124">
        <v>-8.540027E-2</v>
      </c>
      <c r="I124">
        <v>1.5185558E-2</v>
      </c>
      <c r="J124">
        <v>770.4</v>
      </c>
      <c r="K124">
        <v>761.4</v>
      </c>
      <c r="L124">
        <v>783</v>
      </c>
      <c r="M124">
        <v>12411</v>
      </c>
      <c r="N124">
        <v>12432</v>
      </c>
      <c r="O124">
        <v>12466</v>
      </c>
      <c r="P124">
        <v>2</v>
      </c>
      <c r="Q124">
        <f t="shared" si="11"/>
        <v>234.02644080909482</v>
      </c>
      <c r="R124">
        <f t="shared" si="12"/>
        <v>-0.54306919434604506</v>
      </c>
      <c r="S124">
        <f t="shared" si="13"/>
        <v>83.52</v>
      </c>
      <c r="T124">
        <f t="shared" si="14"/>
        <v>1.6616611920943487E-3</v>
      </c>
      <c r="U124">
        <f t="shared" si="15"/>
        <v>-0.15965930116266402</v>
      </c>
      <c r="V124">
        <f t="shared" si="16"/>
        <v>0.10028484666666666</v>
      </c>
      <c r="W124">
        <f t="shared" si="17"/>
        <v>-5.7712793303903012E-2</v>
      </c>
      <c r="X124">
        <f t="shared" si="18"/>
        <v>3.4014253500505776</v>
      </c>
      <c r="Y124">
        <f t="shared" si="19"/>
        <v>832.82771800618332</v>
      </c>
      <c r="Z124">
        <f t="shared" si="20"/>
        <v>846.69488451129939</v>
      </c>
      <c r="AA124">
        <f t="shared" si="21"/>
        <v>846.69488451129939</v>
      </c>
    </row>
    <row r="125" spans="1:27" x14ac:dyDescent="0.3">
      <c r="A125">
        <v>0.27692294000000001</v>
      </c>
      <c r="B125">
        <v>0.33162381333333302</v>
      </c>
      <c r="C125">
        <v>0.25299141333333303</v>
      </c>
      <c r="D125">
        <v>2.8719999999999999</v>
      </c>
      <c r="E125">
        <v>-3.2946666599999999</v>
      </c>
      <c r="F125">
        <v>86.604666666666702</v>
      </c>
      <c r="G125">
        <v>-2.9606127999999999E-2</v>
      </c>
      <c r="H125">
        <v>2.6871577333333299E-2</v>
      </c>
      <c r="I125">
        <v>-2.0768187333333299E-2</v>
      </c>
      <c r="J125">
        <v>772.2</v>
      </c>
      <c r="K125">
        <v>765</v>
      </c>
      <c r="L125">
        <v>774</v>
      </c>
      <c r="M125">
        <v>12826</v>
      </c>
      <c r="N125">
        <v>12866</v>
      </c>
      <c r="O125">
        <v>12911</v>
      </c>
      <c r="P125">
        <v>2</v>
      </c>
      <c r="Q125">
        <f t="shared" si="11"/>
        <v>234.57323155864881</v>
      </c>
      <c r="R125">
        <f t="shared" si="12"/>
        <v>-0.54563689739259846</v>
      </c>
      <c r="S125">
        <f t="shared" si="13"/>
        <v>82.56</v>
      </c>
      <c r="T125">
        <f t="shared" si="14"/>
        <v>2.103040304601198E-3</v>
      </c>
      <c r="U125">
        <f t="shared" si="15"/>
        <v>-0.21660074553453637</v>
      </c>
      <c r="V125">
        <f t="shared" si="16"/>
        <v>8.4330471111111013E-2</v>
      </c>
      <c r="W125">
        <f t="shared" si="17"/>
        <v>-0.13016723411882414</v>
      </c>
      <c r="X125">
        <f t="shared" si="18"/>
        <v>2.5190905785945148</v>
      </c>
      <c r="Y125">
        <f t="shared" si="19"/>
        <v>979.00555887114285</v>
      </c>
      <c r="Z125">
        <f t="shared" si="20"/>
        <v>1026.9676609841215</v>
      </c>
      <c r="AA125">
        <f t="shared" si="21"/>
        <v>1026.9676609841215</v>
      </c>
    </row>
    <row r="126" spans="1:27" x14ac:dyDescent="0.3">
      <c r="A126">
        <v>0.22051268666666701</v>
      </c>
      <c r="B126">
        <v>0.241025613333333</v>
      </c>
      <c r="C126">
        <v>0.32649568000000001</v>
      </c>
      <c r="D126">
        <v>2.1933333333333298</v>
      </c>
      <c r="E126">
        <v>-5.5786666666666704</v>
      </c>
      <c r="F126">
        <v>87.426666666666705</v>
      </c>
      <c r="G126">
        <v>2.1337935333333301E-2</v>
      </c>
      <c r="H126">
        <v>2.0832733333333402E-3</v>
      </c>
      <c r="I126">
        <v>3.8395124000000003E-2</v>
      </c>
      <c r="J126">
        <v>747</v>
      </c>
      <c r="K126">
        <v>759.6</v>
      </c>
      <c r="L126">
        <v>765</v>
      </c>
      <c r="M126">
        <v>12374</v>
      </c>
      <c r="N126">
        <v>12418</v>
      </c>
      <c r="O126">
        <v>12389</v>
      </c>
      <c r="P126">
        <v>2</v>
      </c>
      <c r="Q126">
        <f t="shared" si="11"/>
        <v>226.91816106489335</v>
      </c>
      <c r="R126">
        <f t="shared" si="12"/>
        <v>-0.54178534282276836</v>
      </c>
      <c r="S126">
        <f t="shared" si="13"/>
        <v>81.599999999999994</v>
      </c>
      <c r="T126">
        <f t="shared" si="14"/>
        <v>1.6746430170642272E-3</v>
      </c>
      <c r="U126">
        <f t="shared" si="15"/>
        <v>-0.15742635312031533</v>
      </c>
      <c r="V126">
        <f t="shared" si="16"/>
        <v>0.10883189333333333</v>
      </c>
      <c r="W126">
        <f t="shared" si="17"/>
        <v>-4.6919816769917785E-2</v>
      </c>
      <c r="X126">
        <f t="shared" si="18"/>
        <v>3.4415161888981904</v>
      </c>
      <c r="Y126">
        <f t="shared" si="19"/>
        <v>749.78021148702487</v>
      </c>
      <c r="Z126">
        <f t="shared" si="20"/>
        <v>803.31843900660533</v>
      </c>
      <c r="AA126">
        <f t="shared" si="21"/>
        <v>803.31843900660533</v>
      </c>
    </row>
    <row r="127" spans="1:27" x14ac:dyDescent="0.3">
      <c r="A127">
        <v>0.497041384615385</v>
      </c>
      <c r="B127">
        <v>1.9723846153846202E-3</v>
      </c>
      <c r="C127">
        <v>0.49309669230769199</v>
      </c>
      <c r="D127">
        <v>1.0130769230769201</v>
      </c>
      <c r="E127">
        <v>-7.0769230769230806E-2</v>
      </c>
      <c r="F127">
        <v>-0.17384615384615401</v>
      </c>
      <c r="G127">
        <v>1.25450738461538E-2</v>
      </c>
      <c r="H127">
        <v>-2.57474546153846E-2</v>
      </c>
      <c r="I127">
        <v>1.6526476153846199E-3</v>
      </c>
      <c r="J127">
        <v>-265.84615384615398</v>
      </c>
      <c r="K127">
        <v>0</v>
      </c>
      <c r="L127">
        <v>278.30769230769198</v>
      </c>
      <c r="M127">
        <v>-4620</v>
      </c>
      <c r="N127">
        <v>8</v>
      </c>
      <c r="O127">
        <v>4623</v>
      </c>
      <c r="P127">
        <v>3</v>
      </c>
      <c r="Q127">
        <f t="shared" si="11"/>
        <v>-80.756787626431048</v>
      </c>
      <c r="R127">
        <f t="shared" si="12"/>
        <v>0</v>
      </c>
      <c r="S127">
        <f t="shared" si="13"/>
        <v>29.686153846153811</v>
      </c>
      <c r="T127">
        <f t="shared" si="14"/>
        <v>3.7746893229608949E-3</v>
      </c>
      <c r="U127">
        <f t="shared" si="15"/>
        <v>-1.2882668885534363E-3</v>
      </c>
      <c r="V127">
        <f t="shared" si="16"/>
        <v>0.164365564102564</v>
      </c>
      <c r="W127">
        <f t="shared" si="17"/>
        <v>0.16685198653697147</v>
      </c>
      <c r="X127">
        <f t="shared" si="18"/>
        <v>0</v>
      </c>
      <c r="Y127">
        <f t="shared" si="19"/>
        <v>180.61054338382991</v>
      </c>
      <c r="Z127">
        <f t="shared" si="20"/>
        <v>-1.0576799026934507</v>
      </c>
      <c r="AA127">
        <f t="shared" si="21"/>
        <v>-1.0576799026934507</v>
      </c>
    </row>
    <row r="128" spans="1:27" x14ac:dyDescent="0.3">
      <c r="A128">
        <v>0.56213023076923097</v>
      </c>
      <c r="B128">
        <v>3.7475315384615397E-2</v>
      </c>
      <c r="C128">
        <v>0.59763284615384604</v>
      </c>
      <c r="D128">
        <v>2.4215384615384599</v>
      </c>
      <c r="E128">
        <v>0.58230769230769197</v>
      </c>
      <c r="F128">
        <v>-0.15230769230769201</v>
      </c>
      <c r="G128">
        <v>-1.7465484615384599E-3</v>
      </c>
      <c r="H128">
        <v>-6.5542383846153799E-3</v>
      </c>
      <c r="I128">
        <v>-2.17849369230769E-3</v>
      </c>
      <c r="J128">
        <v>-267.92307692307702</v>
      </c>
      <c r="K128">
        <v>-4.1538461538461497</v>
      </c>
      <c r="L128">
        <v>270</v>
      </c>
      <c r="M128">
        <v>-3897</v>
      </c>
      <c r="N128">
        <v>-25</v>
      </c>
      <c r="O128">
        <v>3881</v>
      </c>
      <c r="P128">
        <v>3</v>
      </c>
      <c r="Q128">
        <f t="shared" si="11"/>
        <v>-81.387700029762513</v>
      </c>
      <c r="R128">
        <f t="shared" si="12"/>
        <v>2.9627342844846948E-3</v>
      </c>
      <c r="S128">
        <f t="shared" si="13"/>
        <v>28.8</v>
      </c>
      <c r="T128">
        <f t="shared" si="14"/>
        <v>4.2689945865173372E-3</v>
      </c>
      <c r="U128">
        <f t="shared" si="15"/>
        <v>-2.4477075906761129E-2</v>
      </c>
      <c r="V128">
        <f t="shared" si="16"/>
        <v>0.19921094871794867</v>
      </c>
      <c r="W128">
        <f t="shared" si="17"/>
        <v>0.17900286739770488</v>
      </c>
      <c r="X128">
        <f t="shared" si="18"/>
        <v>-0.12104118546555309</v>
      </c>
      <c r="Y128">
        <f t="shared" si="19"/>
        <v>144.57036716780192</v>
      </c>
      <c r="Z128">
        <f t="shared" si="20"/>
        <v>-0.76455482636818173</v>
      </c>
      <c r="AA128">
        <f t="shared" si="21"/>
        <v>-0.76455482636818173</v>
      </c>
    </row>
    <row r="129" spans="1:27" x14ac:dyDescent="0.3">
      <c r="A129">
        <v>0.34319530769230799</v>
      </c>
      <c r="B129">
        <v>9.8619307692307707E-3</v>
      </c>
      <c r="C129">
        <v>0.35700193076923098</v>
      </c>
      <c r="D129">
        <v>1.72846153846154</v>
      </c>
      <c r="E129">
        <v>1.38461538461539E-2</v>
      </c>
      <c r="F129">
        <v>-0.229230776923077</v>
      </c>
      <c r="G129">
        <v>-1.08736661538462E-2</v>
      </c>
      <c r="H129">
        <v>-8.4886100000000006E-3</v>
      </c>
      <c r="I129">
        <v>-2.0038322307692299E-2</v>
      </c>
      <c r="J129">
        <v>-168.230769230769</v>
      </c>
      <c r="K129">
        <v>4.1538461538461497</v>
      </c>
      <c r="L129">
        <v>176.538461538462</v>
      </c>
      <c r="M129">
        <v>-3083</v>
      </c>
      <c r="N129">
        <v>-16</v>
      </c>
      <c r="O129">
        <v>3060</v>
      </c>
      <c r="P129">
        <v>3</v>
      </c>
      <c r="Q129">
        <f t="shared" si="11"/>
        <v>-51.103904669850799</v>
      </c>
      <c r="R129">
        <f t="shared" si="12"/>
        <v>-2.9627342844846948E-3</v>
      </c>
      <c r="S129">
        <f t="shared" si="13"/>
        <v>18.830769230769281</v>
      </c>
      <c r="T129">
        <f t="shared" si="14"/>
        <v>2.6063336046733194E-3</v>
      </c>
      <c r="U129">
        <f t="shared" si="15"/>
        <v>-6.4413394670130566E-3</v>
      </c>
      <c r="V129">
        <f t="shared" si="16"/>
        <v>0.11900064358974366</v>
      </c>
      <c r="W129">
        <f t="shared" si="17"/>
        <v>0.11516563772740392</v>
      </c>
      <c r="X129">
        <f t="shared" si="18"/>
        <v>0.45995624041509459</v>
      </c>
      <c r="Y129">
        <f t="shared" si="19"/>
        <v>158.24090242476851</v>
      </c>
      <c r="Z129">
        <f t="shared" si="20"/>
        <v>-1.9262986317397848</v>
      </c>
      <c r="AA129">
        <f t="shared" si="21"/>
        <v>-1.9262986317397848</v>
      </c>
    </row>
    <row r="130" spans="1:27" x14ac:dyDescent="0.3">
      <c r="A130">
        <v>0.35327611111111101</v>
      </c>
      <c r="B130">
        <v>0.56267838888888899</v>
      </c>
      <c r="C130">
        <v>0.31481455555555599</v>
      </c>
      <c r="D130">
        <v>1.5294444444444399</v>
      </c>
      <c r="E130">
        <v>0.90666666666666695</v>
      </c>
      <c r="F130">
        <v>-9.1666672222222106E-2</v>
      </c>
      <c r="G130">
        <v>-2.1701423888888902E-3</v>
      </c>
      <c r="H130">
        <v>-4.0690000000000198E-4</v>
      </c>
      <c r="I130">
        <v>9.4536700000000008E-3</v>
      </c>
      <c r="J130">
        <v>159</v>
      </c>
      <c r="K130">
        <v>-316.5</v>
      </c>
      <c r="L130">
        <v>160.5</v>
      </c>
      <c r="M130">
        <v>3806</v>
      </c>
      <c r="N130">
        <v>-8010</v>
      </c>
      <c r="O130">
        <v>3928</v>
      </c>
      <c r="P130">
        <v>3</v>
      </c>
      <c r="Q130">
        <f t="shared" si="11"/>
        <v>48.299849543933121</v>
      </c>
      <c r="R130">
        <f t="shared" si="12"/>
        <v>0.22574389284282015</v>
      </c>
      <c r="S130">
        <f t="shared" si="13"/>
        <v>17.12</v>
      </c>
      <c r="T130">
        <f t="shared" si="14"/>
        <v>2.6828904110271167E-3</v>
      </c>
      <c r="U130">
        <f t="shared" si="15"/>
        <v>-0.36751449573074063</v>
      </c>
      <c r="V130">
        <f t="shared" si="16"/>
        <v>0.10493818518518533</v>
      </c>
      <c r="W130">
        <f t="shared" si="17"/>
        <v>-0.25989342013452821</v>
      </c>
      <c r="X130">
        <f t="shared" si="18"/>
        <v>-0.6142448677948511</v>
      </c>
      <c r="Y130">
        <f t="shared" si="19"/>
        <v>163.14366376536995</v>
      </c>
      <c r="Z130">
        <f t="shared" si="20"/>
        <v>-0.87353018408367866</v>
      </c>
      <c r="AA130">
        <f t="shared" si="21"/>
        <v>-0.87353018408367866</v>
      </c>
    </row>
    <row r="131" spans="1:27" x14ac:dyDescent="0.3">
      <c r="A131">
        <v>0.29230766666666702</v>
      </c>
      <c r="B131">
        <v>0.51623926666666697</v>
      </c>
      <c r="C131">
        <v>0.494017066666667</v>
      </c>
      <c r="D131">
        <v>-1.208</v>
      </c>
      <c r="E131">
        <v>-1.1679999999999999</v>
      </c>
      <c r="F131">
        <v>1.7673333333333301</v>
      </c>
      <c r="G131">
        <v>2.2428380000000001E-2</v>
      </c>
      <c r="H131">
        <v>2.9150353333333299E-2</v>
      </c>
      <c r="I131">
        <v>8.1868513333333299E-3</v>
      </c>
      <c r="J131">
        <v>-109.8</v>
      </c>
      <c r="K131">
        <v>-325.8</v>
      </c>
      <c r="L131">
        <v>482.4</v>
      </c>
      <c r="M131">
        <v>-1648</v>
      </c>
      <c r="N131">
        <v>-5325</v>
      </c>
      <c r="O131">
        <v>7508</v>
      </c>
      <c r="P131">
        <v>3</v>
      </c>
      <c r="Q131">
        <f t="shared" ref="Q131:Q177" si="22">((-2/3)*COS(-30*3.1415/180)+(2/3)*SIN(0*3.1415/180)+(2/3)*COS(30*3.1415*180))*J131*40</f>
        <v>-33.35423572279155</v>
      </c>
      <c r="R131">
        <f t="shared" ref="R131:R177" si="23">((-2/3)*SIN(-30*3.1415/180)-((2/3)*COS(0*3.1415/180))+(2/3)*SIN(30*3.1415/180))*K131*40</f>
        <v>0.23237712571308311</v>
      </c>
      <c r="S131">
        <f t="shared" ref="S131:S177" si="24">(40*L131)/(3*125)</f>
        <v>51.456000000000003</v>
      </c>
      <c r="T131">
        <f t="shared" ref="T131:T177" si="25">((-2/3)*COS(-30*3.1415/180)+(2/3)*SIN(0*3.1415/180)+(2/3)*COS(30*3.1415*180))*A131</f>
        <v>2.2198767799588323E-3</v>
      </c>
      <c r="U131">
        <f t="shared" ref="U131:U177" si="26">((-2/3)*SIN(-30*3.1415/180)+(-2/3)*COS(0*3.1415/180)+(2/3)*SIN(30*3.1415*180))*B131</f>
        <v>-0.33718269176830273</v>
      </c>
      <c r="V131">
        <f t="shared" ref="V131:V177" si="27">C131/3</f>
        <v>0.16467235555555568</v>
      </c>
      <c r="W131">
        <f t="shared" ref="W131:W177" si="28">SUM(T131:V131)</f>
        <v>-0.17029045943278823</v>
      </c>
      <c r="X131">
        <f t="shared" ref="X131:X177" si="29">R131/U131</f>
        <v>-0.68917275822912805</v>
      </c>
      <c r="Y131">
        <f t="shared" ref="Y131:Y177" si="30">S131/V131</f>
        <v>312.47503460069373</v>
      </c>
      <c r="Z131">
        <f t="shared" ref="Z131:Z177" si="31">F131/V131</f>
        <v>10.732422739511266</v>
      </c>
      <c r="AA131">
        <f t="shared" ref="AA131:AA177" si="32">F131/V131</f>
        <v>10.732422739511266</v>
      </c>
    </row>
    <row r="132" spans="1:27" x14ac:dyDescent="0.3">
      <c r="A132">
        <v>9.7435820000000006E-2</v>
      </c>
      <c r="B132">
        <v>0.71623953333333301</v>
      </c>
      <c r="C132">
        <v>0.42564073333333302</v>
      </c>
      <c r="D132">
        <v>0.49733333333333302</v>
      </c>
      <c r="E132">
        <v>1.0940000000000001</v>
      </c>
      <c r="F132">
        <v>0.61266666000000003</v>
      </c>
      <c r="G132">
        <v>3.74354666666669E-4</v>
      </c>
      <c r="H132">
        <v>1.9205986666666699E-3</v>
      </c>
      <c r="I132">
        <v>4.7525939999999997E-3</v>
      </c>
      <c r="J132">
        <v>-140.4</v>
      </c>
      <c r="K132">
        <v>-311.39999999999998</v>
      </c>
      <c r="L132">
        <v>466.2</v>
      </c>
      <c r="M132">
        <v>-2374</v>
      </c>
      <c r="N132">
        <v>-5403</v>
      </c>
      <c r="O132">
        <v>8171</v>
      </c>
      <c r="P132">
        <v>3</v>
      </c>
      <c r="Q132">
        <f t="shared" si="22"/>
        <v>-42.649678465208879</v>
      </c>
      <c r="R132">
        <f t="shared" si="23"/>
        <v>0.22210631352686946</v>
      </c>
      <c r="S132">
        <f t="shared" si="24"/>
        <v>49.728000000000002</v>
      </c>
      <c r="T132">
        <f t="shared" si="25"/>
        <v>7.3995840348895447E-4</v>
      </c>
      <c r="U132">
        <f t="shared" si="26"/>
        <v>-0.4678132590718711</v>
      </c>
      <c r="V132">
        <f t="shared" si="27"/>
        <v>0.14188024444444433</v>
      </c>
      <c r="W132">
        <f t="shared" si="28"/>
        <v>-0.32519305622393779</v>
      </c>
      <c r="X132">
        <f t="shared" si="29"/>
        <v>-0.474775584530294</v>
      </c>
      <c r="Y132">
        <f t="shared" si="30"/>
        <v>350.49277082033689</v>
      </c>
      <c r="Z132">
        <f t="shared" si="31"/>
        <v>4.3181956896042726</v>
      </c>
      <c r="AA132">
        <f t="shared" si="32"/>
        <v>4.3181956896042726</v>
      </c>
    </row>
    <row r="133" spans="1:27" x14ac:dyDescent="0.3">
      <c r="A133">
        <v>0.29230753333333298</v>
      </c>
      <c r="B133">
        <v>0.38461519999999999</v>
      </c>
      <c r="C133">
        <v>0.60683753333333401</v>
      </c>
      <c r="D133">
        <v>2.53066666666667</v>
      </c>
      <c r="E133">
        <v>2.05466666666667</v>
      </c>
      <c r="F133">
        <v>1.7573333333333301</v>
      </c>
      <c r="G133">
        <v>-1.3785814E-2</v>
      </c>
      <c r="H133">
        <v>-1.3395178066666701E-2</v>
      </c>
      <c r="I133">
        <v>-5.8105493333333296E-3</v>
      </c>
      <c r="J133">
        <v>-102.6</v>
      </c>
      <c r="K133">
        <v>-340.2</v>
      </c>
      <c r="L133">
        <v>455.4</v>
      </c>
      <c r="M133">
        <v>-1729</v>
      </c>
      <c r="N133">
        <v>-5448</v>
      </c>
      <c r="O133">
        <v>7386</v>
      </c>
      <c r="P133">
        <v>3</v>
      </c>
      <c r="Q133">
        <f t="shared" si="22"/>
        <v>-31.167072724575711</v>
      </c>
      <c r="R133">
        <f t="shared" si="23"/>
        <v>0.24264793789929673</v>
      </c>
      <c r="S133">
        <f t="shared" si="24"/>
        <v>48.576000000000001</v>
      </c>
      <c r="T133">
        <f t="shared" si="25"/>
        <v>2.2198757673833648E-3</v>
      </c>
      <c r="U133">
        <f t="shared" si="26"/>
        <v>-0.25121217389831257</v>
      </c>
      <c r="V133">
        <f t="shared" si="27"/>
        <v>0.20227917777777801</v>
      </c>
      <c r="W133">
        <f t="shared" si="28"/>
        <v>-4.67131203531512E-2</v>
      </c>
      <c r="X133">
        <f t="shared" si="29"/>
        <v>-0.96590835600792768</v>
      </c>
      <c r="Y133">
        <f t="shared" si="30"/>
        <v>240.14335303144813</v>
      </c>
      <c r="Z133">
        <f t="shared" si="31"/>
        <v>8.6876630241394395</v>
      </c>
      <c r="AA133">
        <f t="shared" si="32"/>
        <v>8.6876630241394395</v>
      </c>
    </row>
    <row r="134" spans="1:27" x14ac:dyDescent="0.3">
      <c r="A134">
        <v>0.17628188750000001</v>
      </c>
      <c r="B134">
        <v>0.24999974999999999</v>
      </c>
      <c r="C134">
        <v>0.3461535</v>
      </c>
      <c r="D134">
        <v>1.308125</v>
      </c>
      <c r="E134">
        <v>-4.9999999999999802E-3</v>
      </c>
      <c r="F134">
        <v>17.766874999999999</v>
      </c>
      <c r="G134">
        <v>-1.11541593125E-2</v>
      </c>
      <c r="H134">
        <v>8.0261224999999999E-3</v>
      </c>
      <c r="I134">
        <v>-8.1787143749999999E-3</v>
      </c>
      <c r="J134">
        <v>175.5</v>
      </c>
      <c r="K134">
        <v>163.6875</v>
      </c>
      <c r="L134">
        <v>160.3125</v>
      </c>
      <c r="M134">
        <v>2996</v>
      </c>
      <c r="N134">
        <v>2857</v>
      </c>
      <c r="O134">
        <v>2752</v>
      </c>
      <c r="P134">
        <v>3</v>
      </c>
      <c r="Q134">
        <f t="shared" si="22"/>
        <v>53.312098081511088</v>
      </c>
      <c r="R134">
        <f t="shared" si="23"/>
        <v>-0.11675024789797511</v>
      </c>
      <c r="S134">
        <f t="shared" si="24"/>
        <v>17.100000000000001</v>
      </c>
      <c r="T134">
        <f t="shared" si="25"/>
        <v>1.3387403527626645E-3</v>
      </c>
      <c r="U134">
        <f t="shared" si="26"/>
        <v>-0.16328782812414766</v>
      </c>
      <c r="V134">
        <f t="shared" si="27"/>
        <v>0.1153845</v>
      </c>
      <c r="W134">
        <f t="shared" si="28"/>
        <v>-4.6564587771385002E-2</v>
      </c>
      <c r="X134">
        <f t="shared" si="29"/>
        <v>0.71499663654788737</v>
      </c>
      <c r="Y134">
        <f t="shared" si="30"/>
        <v>148.20014820014822</v>
      </c>
      <c r="Z134">
        <f t="shared" si="31"/>
        <v>153.97973731307064</v>
      </c>
      <c r="AA134">
        <f t="shared" si="32"/>
        <v>153.97973731307064</v>
      </c>
    </row>
    <row r="135" spans="1:27" x14ac:dyDescent="0.3">
      <c r="A135">
        <v>0.16346139374999999</v>
      </c>
      <c r="B135">
        <v>0.28044843749999998</v>
      </c>
      <c r="C135">
        <v>0.34615362500000002</v>
      </c>
      <c r="D135">
        <v>0.916875</v>
      </c>
      <c r="E135">
        <v>8.2500000000000004E-2</v>
      </c>
      <c r="F135">
        <v>19.880624999999998</v>
      </c>
      <c r="G135">
        <v>-6.4392E-3</v>
      </c>
      <c r="H135">
        <v>2.894592E-2</v>
      </c>
      <c r="I135">
        <v>2.3803786249999999E-3</v>
      </c>
      <c r="J135">
        <v>165.375</v>
      </c>
      <c r="K135">
        <v>160.3125</v>
      </c>
      <c r="L135">
        <v>156.9375</v>
      </c>
      <c r="M135">
        <v>3172</v>
      </c>
      <c r="N135">
        <v>2980</v>
      </c>
      <c r="O135">
        <v>2913</v>
      </c>
      <c r="P135">
        <v>3</v>
      </c>
      <c r="Q135">
        <f t="shared" si="22"/>
        <v>50.236400115270065</v>
      </c>
      <c r="R135">
        <f t="shared" si="23"/>
        <v>-0.1143430262918313</v>
      </c>
      <c r="S135">
        <f t="shared" si="24"/>
        <v>16.739999999999998</v>
      </c>
      <c r="T135">
        <f t="shared" si="25"/>
        <v>1.241377472384687E-3</v>
      </c>
      <c r="U135">
        <f t="shared" si="26"/>
        <v>-0.18317544821619128</v>
      </c>
      <c r="V135">
        <f t="shared" si="27"/>
        <v>0.11538454166666667</v>
      </c>
      <c r="W135">
        <f t="shared" si="28"/>
        <v>-6.6549529077139929E-2</v>
      </c>
      <c r="X135">
        <f t="shared" si="29"/>
        <v>0.62422681317465045</v>
      </c>
      <c r="Y135">
        <f t="shared" si="30"/>
        <v>145.08009269005919</v>
      </c>
      <c r="Z135">
        <f t="shared" si="31"/>
        <v>172.29886007982725</v>
      </c>
      <c r="AA135">
        <f t="shared" si="32"/>
        <v>172.29886007982725</v>
      </c>
    </row>
    <row r="136" spans="1:27" x14ac:dyDescent="0.3">
      <c r="A136">
        <v>0.28365356250000001</v>
      </c>
      <c r="B136">
        <v>0.30769200000000002</v>
      </c>
      <c r="C136">
        <v>0.22275619999999999</v>
      </c>
      <c r="D136">
        <v>-16.46125</v>
      </c>
      <c r="E136">
        <v>0.52625</v>
      </c>
      <c r="F136">
        <v>17.50375</v>
      </c>
      <c r="G136">
        <v>-9.9487381875000003E-3</v>
      </c>
      <c r="H136">
        <v>3.8452138125E-2</v>
      </c>
      <c r="I136">
        <v>-0.116546653</v>
      </c>
      <c r="J136">
        <v>158.625</v>
      </c>
      <c r="K136">
        <v>153.5625</v>
      </c>
      <c r="L136">
        <v>167.0625</v>
      </c>
      <c r="M136">
        <v>2765</v>
      </c>
      <c r="N136">
        <v>2776</v>
      </c>
      <c r="O136">
        <v>2925</v>
      </c>
      <c r="P136">
        <v>3</v>
      </c>
      <c r="Q136">
        <f t="shared" si="22"/>
        <v>48.185934804442716</v>
      </c>
      <c r="R136">
        <f t="shared" si="23"/>
        <v>-0.10952858307954366</v>
      </c>
      <c r="S136">
        <f t="shared" si="24"/>
        <v>17.82</v>
      </c>
      <c r="T136">
        <f t="shared" si="25"/>
        <v>2.1541547785142502E-3</v>
      </c>
      <c r="U136">
        <f t="shared" si="26"/>
        <v>-0.20096963461433559</v>
      </c>
      <c r="V136">
        <f t="shared" si="27"/>
        <v>7.4252066666666658E-2</v>
      </c>
      <c r="W136">
        <f t="shared" si="28"/>
        <v>-0.12456341316915469</v>
      </c>
      <c r="X136">
        <f t="shared" si="29"/>
        <v>0.54500065788411778</v>
      </c>
      <c r="Y136">
        <f t="shared" si="30"/>
        <v>239.99332005124887</v>
      </c>
      <c r="Z136">
        <f t="shared" si="31"/>
        <v>235.73417934046284</v>
      </c>
      <c r="AA136">
        <f t="shared" si="32"/>
        <v>235.73417934046284</v>
      </c>
    </row>
    <row r="137" spans="1:27" x14ac:dyDescent="0.3">
      <c r="A137">
        <v>0.34615357142857101</v>
      </c>
      <c r="B137">
        <v>0.28021957857142898</v>
      </c>
      <c r="C137">
        <v>0.23992658571428599</v>
      </c>
      <c r="D137">
        <v>0.89071428571428601</v>
      </c>
      <c r="E137">
        <v>-0.83857142857142897</v>
      </c>
      <c r="F137">
        <v>39.104999999999997</v>
      </c>
      <c r="G137">
        <v>-1.15269116428571E-2</v>
      </c>
      <c r="H137">
        <v>-3.5191165000000003E-2</v>
      </c>
      <c r="I137">
        <v>3.5749150000000001E-3</v>
      </c>
      <c r="J137">
        <v>341.357142857143</v>
      </c>
      <c r="K137">
        <v>351</v>
      </c>
      <c r="L137">
        <v>356.78571428571399</v>
      </c>
      <c r="M137">
        <v>5528</v>
      </c>
      <c r="N137">
        <v>5624</v>
      </c>
      <c r="O137">
        <v>5701</v>
      </c>
      <c r="P137">
        <v>3</v>
      </c>
      <c r="Q137">
        <f t="shared" si="22"/>
        <v>103.69496000469744</v>
      </c>
      <c r="R137">
        <f t="shared" si="23"/>
        <v>-0.25035104703895694</v>
      </c>
      <c r="S137">
        <f t="shared" si="24"/>
        <v>38.057142857142829</v>
      </c>
      <c r="T137">
        <f t="shared" si="25"/>
        <v>2.6287995941973409E-3</v>
      </c>
      <c r="U137">
        <f t="shared" si="26"/>
        <v>-0.1830259685571389</v>
      </c>
      <c r="V137">
        <f t="shared" si="27"/>
        <v>7.9975528571428658E-2</v>
      </c>
      <c r="W137">
        <f t="shared" si="28"/>
        <v>-0.1004216403915129</v>
      </c>
      <c r="X137">
        <f t="shared" si="29"/>
        <v>1.3678444048818124</v>
      </c>
      <c r="Y137">
        <f t="shared" si="30"/>
        <v>475.85984784274103</v>
      </c>
      <c r="Z137">
        <f t="shared" si="31"/>
        <v>488.96207000462761</v>
      </c>
      <c r="AA137">
        <f t="shared" si="32"/>
        <v>488.96207000462761</v>
      </c>
    </row>
    <row r="138" spans="1:27" x14ac:dyDescent="0.3">
      <c r="A138">
        <v>0.208791007142857</v>
      </c>
      <c r="B138">
        <v>0.27655657857142901</v>
      </c>
      <c r="C138">
        <v>0.29487150000000001</v>
      </c>
      <c r="D138">
        <v>0.60857142857142899</v>
      </c>
      <c r="E138">
        <v>-1.43071428571429</v>
      </c>
      <c r="F138">
        <v>41.342142857142903</v>
      </c>
      <c r="G138">
        <v>-2.3454943571428601E-2</v>
      </c>
      <c r="H138">
        <v>-2.9750284285714301E-2</v>
      </c>
      <c r="I138">
        <v>-1.7089878571428601E-3</v>
      </c>
      <c r="J138">
        <v>341.357142857143</v>
      </c>
      <c r="K138">
        <v>347.142857142857</v>
      </c>
      <c r="L138">
        <v>352.92857142857099</v>
      </c>
      <c r="M138">
        <v>5874</v>
      </c>
      <c r="N138">
        <v>5829</v>
      </c>
      <c r="O138">
        <v>5842</v>
      </c>
      <c r="P138">
        <v>3</v>
      </c>
      <c r="Q138">
        <f t="shared" si="22"/>
        <v>103.69496000469744</v>
      </c>
      <c r="R138">
        <f t="shared" si="23"/>
        <v>-0.24759993663193533</v>
      </c>
      <c r="S138">
        <f t="shared" si="24"/>
        <v>37.645714285714241</v>
      </c>
      <c r="T138">
        <f t="shared" si="25"/>
        <v>1.5856248791079025E-3</v>
      </c>
      <c r="U138">
        <f t="shared" si="26"/>
        <v>-0.18063347290696827</v>
      </c>
      <c r="V138">
        <f t="shared" si="27"/>
        <v>9.8290500000000003E-2</v>
      </c>
      <c r="W138">
        <f t="shared" si="28"/>
        <v>-8.0757348027860359E-2</v>
      </c>
      <c r="X138">
        <f t="shared" si="29"/>
        <v>1.3707311975309073</v>
      </c>
      <c r="Y138">
        <f t="shared" si="30"/>
        <v>383.00460660709064</v>
      </c>
      <c r="Z138">
        <f t="shared" si="31"/>
        <v>420.61178707141488</v>
      </c>
      <c r="AA138">
        <f t="shared" si="32"/>
        <v>420.61178707141488</v>
      </c>
    </row>
    <row r="139" spans="1:27" x14ac:dyDescent="0.3">
      <c r="A139">
        <v>0.40476179285714298</v>
      </c>
      <c r="B139">
        <v>0.36080585714285701</v>
      </c>
      <c r="C139">
        <v>0.148351528571429</v>
      </c>
      <c r="D139">
        <v>0.39500000000000002</v>
      </c>
      <c r="E139">
        <v>-0.60428571428571398</v>
      </c>
      <c r="F139">
        <v>36.779285714285699</v>
      </c>
      <c r="G139">
        <v>-1.79612142857143E-3</v>
      </c>
      <c r="H139">
        <v>-6.6179564999999996E-2</v>
      </c>
      <c r="I139">
        <v>-1.8240793571428601E-2</v>
      </c>
      <c r="J139">
        <v>316.28571428571399</v>
      </c>
      <c r="K139">
        <v>306.642857142857</v>
      </c>
      <c r="L139">
        <v>337.5</v>
      </c>
      <c r="M139">
        <v>5524</v>
      </c>
      <c r="N139">
        <v>5614</v>
      </c>
      <c r="O139">
        <v>5918</v>
      </c>
      <c r="P139">
        <v>3</v>
      </c>
      <c r="Q139">
        <f t="shared" si="22"/>
        <v>96.078945993052855</v>
      </c>
      <c r="R139">
        <f t="shared" si="23"/>
        <v>-0.21871327735820953</v>
      </c>
      <c r="S139">
        <f t="shared" si="24"/>
        <v>36</v>
      </c>
      <c r="T139">
        <f t="shared" si="25"/>
        <v>3.0738889459328038E-3</v>
      </c>
      <c r="U139">
        <f t="shared" si="26"/>
        <v>-0.23566105481036925</v>
      </c>
      <c r="V139">
        <f t="shared" si="27"/>
        <v>4.9450509523809666E-2</v>
      </c>
      <c r="W139">
        <f t="shared" si="28"/>
        <v>-0.18313665634062679</v>
      </c>
      <c r="X139">
        <f t="shared" si="29"/>
        <v>0.92808409745175247</v>
      </c>
      <c r="Y139">
        <f t="shared" si="30"/>
        <v>728.00058779306505</v>
      </c>
      <c r="Z139">
        <f t="shared" si="31"/>
        <v>743.75948940580747</v>
      </c>
      <c r="AA139">
        <f t="shared" si="32"/>
        <v>743.75948940580747</v>
      </c>
    </row>
    <row r="140" spans="1:27" x14ac:dyDescent="0.3">
      <c r="A140">
        <v>0.20192288124999999</v>
      </c>
      <c r="B140">
        <v>0.38461501250000002</v>
      </c>
      <c r="C140">
        <v>0.38782044375000002</v>
      </c>
      <c r="D140">
        <v>5.4374999999999798E-2</v>
      </c>
      <c r="E140">
        <v>-3.8774999999999999</v>
      </c>
      <c r="F140">
        <v>81.948750000000004</v>
      </c>
      <c r="G140">
        <v>-4.0130637500000003E-2</v>
      </c>
      <c r="H140">
        <v>-5.4733274999999998E-2</v>
      </c>
      <c r="I140">
        <v>2.6855918749999902E-3</v>
      </c>
      <c r="J140">
        <v>750.9375</v>
      </c>
      <c r="K140">
        <v>725.625</v>
      </c>
      <c r="L140">
        <v>745.875</v>
      </c>
      <c r="M140">
        <v>14405</v>
      </c>
      <c r="N140">
        <v>14135</v>
      </c>
      <c r="O140">
        <v>14168</v>
      </c>
      <c r="P140">
        <v>3</v>
      </c>
      <c r="Q140">
        <f t="shared" si="22"/>
        <v>228.11426582954266</v>
      </c>
      <c r="R140">
        <f t="shared" si="23"/>
        <v>-0.5175526453209206</v>
      </c>
      <c r="S140">
        <f t="shared" si="24"/>
        <v>79.56</v>
      </c>
      <c r="T140">
        <f t="shared" si="25"/>
        <v>1.5334661609830934E-3</v>
      </c>
      <c r="U140">
        <f t="shared" si="26"/>
        <v>-0.25121205143231906</v>
      </c>
      <c r="V140">
        <f t="shared" si="27"/>
        <v>0.12927348125000002</v>
      </c>
      <c r="W140">
        <f t="shared" si="28"/>
        <v>-0.12040510402133595</v>
      </c>
      <c r="X140">
        <f t="shared" si="29"/>
        <v>2.0602222002090467</v>
      </c>
      <c r="Y140">
        <f t="shared" si="30"/>
        <v>615.43944845223234</v>
      </c>
      <c r="Z140">
        <f t="shared" si="31"/>
        <v>633.91771620600639</v>
      </c>
      <c r="AA140">
        <f t="shared" si="32"/>
        <v>633.91771620600639</v>
      </c>
    </row>
    <row r="141" spans="1:27" x14ac:dyDescent="0.3">
      <c r="A141">
        <v>0.34615374999999998</v>
      </c>
      <c r="B141">
        <v>0.29487164999999999</v>
      </c>
      <c r="C141">
        <v>0.23878194999999999</v>
      </c>
      <c r="D141">
        <v>-1.690625</v>
      </c>
      <c r="E141">
        <v>-5.8206249999999997</v>
      </c>
      <c r="F141">
        <v>82.381249999999994</v>
      </c>
      <c r="G141">
        <v>-3.7078425E-3</v>
      </c>
      <c r="H141">
        <v>2.89916411875E-2</v>
      </c>
      <c r="I141">
        <v>-2.8167781249999999E-2</v>
      </c>
      <c r="J141">
        <v>745.875</v>
      </c>
      <c r="K141">
        <v>742.5</v>
      </c>
      <c r="L141">
        <v>749.25</v>
      </c>
      <c r="M141">
        <v>13812</v>
      </c>
      <c r="N141">
        <v>13828</v>
      </c>
      <c r="O141">
        <v>13898</v>
      </c>
      <c r="P141">
        <v>3</v>
      </c>
      <c r="Q141">
        <f t="shared" si="22"/>
        <v>226.57641684642215</v>
      </c>
      <c r="R141">
        <f t="shared" si="23"/>
        <v>-0.52958875335163969</v>
      </c>
      <c r="S141">
        <f t="shared" si="24"/>
        <v>79.92</v>
      </c>
      <c r="T141">
        <f t="shared" si="25"/>
        <v>2.628800950325195E-3</v>
      </c>
      <c r="U141">
        <f t="shared" si="26"/>
        <v>-0.19259599781153311</v>
      </c>
      <c r="V141">
        <f t="shared" si="27"/>
        <v>7.9593983333333326E-2</v>
      </c>
      <c r="W141">
        <f t="shared" si="28"/>
        <v>-0.11037321352787459</v>
      </c>
      <c r="X141">
        <f t="shared" si="29"/>
        <v>2.7497391398022426</v>
      </c>
      <c r="Y141">
        <f t="shared" si="30"/>
        <v>1004.0959963682349</v>
      </c>
      <c r="Z141">
        <f t="shared" si="31"/>
        <v>1035.018559819953</v>
      </c>
      <c r="AA141">
        <f t="shared" si="32"/>
        <v>1035.018559819953</v>
      </c>
    </row>
    <row r="142" spans="1:27" x14ac:dyDescent="0.3">
      <c r="A142">
        <v>1.2111617058823501</v>
      </c>
      <c r="B142">
        <v>0</v>
      </c>
      <c r="C142">
        <v>1.01357570588235</v>
      </c>
      <c r="D142">
        <v>0.81058823529411805</v>
      </c>
      <c r="E142">
        <v>8.2352941176470601E-2</v>
      </c>
      <c r="F142">
        <v>0.81352941176470595</v>
      </c>
      <c r="G142">
        <v>1.33558764705882E-3</v>
      </c>
      <c r="H142">
        <v>1.92439470588235E-3</v>
      </c>
      <c r="I142">
        <v>-2.49885870588235E-3</v>
      </c>
      <c r="J142">
        <v>-219.17647058823499</v>
      </c>
      <c r="K142">
        <v>0</v>
      </c>
      <c r="L142">
        <v>231.88235294117601</v>
      </c>
      <c r="M142">
        <v>-4348</v>
      </c>
      <c r="N142">
        <v>0</v>
      </c>
      <c r="O142">
        <v>4608</v>
      </c>
      <c r="P142">
        <v>4</v>
      </c>
      <c r="Q142">
        <f t="shared" si="22"/>
        <v>-66.579814798629144</v>
      </c>
      <c r="R142">
        <f t="shared" si="23"/>
        <v>0</v>
      </c>
      <c r="S142">
        <f t="shared" si="24"/>
        <v>24.734117647058778</v>
      </c>
      <c r="T142">
        <f t="shared" si="25"/>
        <v>9.1979446804230959E-3</v>
      </c>
      <c r="U142">
        <f t="shared" si="26"/>
        <v>0</v>
      </c>
      <c r="V142">
        <f t="shared" si="27"/>
        <v>0.33785856862745001</v>
      </c>
      <c r="W142">
        <f t="shared" si="28"/>
        <v>0.34705651330787313</v>
      </c>
      <c r="X142" t="e">
        <f t="shared" si="29"/>
        <v>#DIV/0!</v>
      </c>
      <c r="Y142">
        <f t="shared" si="30"/>
        <v>73.208495932310072</v>
      </c>
      <c r="Z142">
        <f t="shared" si="31"/>
        <v>2.4078993025681372</v>
      </c>
      <c r="AA142">
        <f t="shared" si="32"/>
        <v>2.4078993025681372</v>
      </c>
    </row>
    <row r="143" spans="1:27" x14ac:dyDescent="0.3">
      <c r="A143">
        <v>1.11010617647059</v>
      </c>
      <c r="B143">
        <v>0</v>
      </c>
      <c r="C143">
        <v>1.08446558823529</v>
      </c>
      <c r="D143">
        <v>0.64176470588235301</v>
      </c>
      <c r="E143">
        <v>-3.7647058823529402E-2</v>
      </c>
      <c r="F143">
        <v>0.76058822941176496</v>
      </c>
      <c r="G143">
        <v>-3.0876652941176498E-3</v>
      </c>
      <c r="H143">
        <v>6.1609652941176504E-3</v>
      </c>
      <c r="I143">
        <v>3.9062465882352898E-3</v>
      </c>
      <c r="J143">
        <v>-222.35294117647101</v>
      </c>
      <c r="K143">
        <v>0</v>
      </c>
      <c r="L143">
        <v>231.88235294117601</v>
      </c>
      <c r="M143">
        <v>-4001</v>
      </c>
      <c r="N143">
        <v>2</v>
      </c>
      <c r="O143">
        <v>4125</v>
      </c>
      <c r="P143">
        <v>4</v>
      </c>
      <c r="Q143">
        <f t="shared" si="22"/>
        <v>-67.544739650783413</v>
      </c>
      <c r="R143">
        <f t="shared" si="23"/>
        <v>0</v>
      </c>
      <c r="S143">
        <f t="shared" si="24"/>
        <v>24.734117647058778</v>
      </c>
      <c r="T143">
        <f t="shared" si="25"/>
        <v>8.4304970599560335E-3</v>
      </c>
      <c r="U143">
        <f t="shared" si="26"/>
        <v>0</v>
      </c>
      <c r="V143">
        <f t="shared" si="27"/>
        <v>0.36148852941176335</v>
      </c>
      <c r="W143">
        <f t="shared" si="28"/>
        <v>0.36991902647171937</v>
      </c>
      <c r="X143" t="e">
        <f t="shared" si="29"/>
        <v>#DIV/0!</v>
      </c>
      <c r="Y143">
        <f t="shared" si="30"/>
        <v>68.42296680148516</v>
      </c>
      <c r="Z143">
        <f t="shared" si="31"/>
        <v>2.1040452670778835</v>
      </c>
      <c r="AA143">
        <f t="shared" si="32"/>
        <v>2.1040452670778835</v>
      </c>
    </row>
    <row r="144" spans="1:27" x14ac:dyDescent="0.3">
      <c r="A144">
        <v>0.155354429411765</v>
      </c>
      <c r="B144">
        <v>0</v>
      </c>
      <c r="C144">
        <v>0.113122117647059</v>
      </c>
      <c r="D144">
        <v>0.70352941176470596</v>
      </c>
      <c r="E144">
        <v>3.7058823529411797E-2</v>
      </c>
      <c r="F144">
        <v>0.21176470588235299</v>
      </c>
      <c r="G144">
        <v>1.2996864588235299E-2</v>
      </c>
      <c r="H144">
        <v>1.98328161176471E-2</v>
      </c>
      <c r="I144">
        <v>1.10724965882353E-2</v>
      </c>
      <c r="J144">
        <v>-4.7647058823529402</v>
      </c>
      <c r="K144">
        <v>0</v>
      </c>
      <c r="L144">
        <v>7.9411764705882399</v>
      </c>
      <c r="M144">
        <v>-279</v>
      </c>
      <c r="N144">
        <v>0</v>
      </c>
      <c r="O144">
        <v>343</v>
      </c>
      <c r="P144">
        <v>4</v>
      </c>
      <c r="Q144">
        <f t="shared" si="22"/>
        <v>-1.4473872782310702</v>
      </c>
      <c r="R144">
        <f t="shared" si="23"/>
        <v>0</v>
      </c>
      <c r="S144">
        <f t="shared" si="24"/>
        <v>0.84705882352941231</v>
      </c>
      <c r="T144">
        <f t="shared" si="25"/>
        <v>1.1798106236748159E-3</v>
      </c>
      <c r="U144">
        <f t="shared" si="26"/>
        <v>0</v>
      </c>
      <c r="V144">
        <f t="shared" si="27"/>
        <v>3.7707372549019666E-2</v>
      </c>
      <c r="W144">
        <f t="shared" si="28"/>
        <v>3.8887183172694482E-2</v>
      </c>
      <c r="X144" t="e">
        <f t="shared" si="29"/>
        <v>#DIV/0!</v>
      </c>
      <c r="Y144">
        <f t="shared" si="30"/>
        <v>22.464010782725154</v>
      </c>
      <c r="Z144">
        <f t="shared" si="31"/>
        <v>5.6160026956812867</v>
      </c>
      <c r="AA144">
        <f t="shared" si="32"/>
        <v>5.6160026956812867</v>
      </c>
    </row>
    <row r="145" spans="1:27" x14ac:dyDescent="0.3">
      <c r="A145">
        <v>1.22564133333333</v>
      </c>
      <c r="B145">
        <v>1.507692</v>
      </c>
      <c r="C145">
        <v>1.1641030000000001</v>
      </c>
      <c r="D145">
        <v>0.72133333333333405</v>
      </c>
      <c r="E145">
        <v>-0.124</v>
      </c>
      <c r="F145">
        <v>4.4846666666666701</v>
      </c>
      <c r="G145">
        <v>6.6731745333333302E-3</v>
      </c>
      <c r="H145">
        <v>-1.0302734799999999E-2</v>
      </c>
      <c r="I145">
        <v>-1.1686192E-2</v>
      </c>
      <c r="J145">
        <v>77.400000000000006</v>
      </c>
      <c r="K145">
        <v>-234</v>
      </c>
      <c r="L145">
        <v>86.4</v>
      </c>
      <c r="M145">
        <v>1729</v>
      </c>
      <c r="N145">
        <v>-5173</v>
      </c>
      <c r="O145">
        <v>1808</v>
      </c>
      <c r="P145">
        <v>4</v>
      </c>
      <c r="Q145">
        <f t="shared" si="22"/>
        <v>23.512002230820279</v>
      </c>
      <c r="R145">
        <f t="shared" si="23"/>
        <v>0.16690069802597129</v>
      </c>
      <c r="S145">
        <f t="shared" si="24"/>
        <v>9.2159999999999993</v>
      </c>
      <c r="T145">
        <f t="shared" si="25"/>
        <v>9.3079075463561988E-3</v>
      </c>
      <c r="U145">
        <f t="shared" si="26"/>
        <v>-0.98475199339260311</v>
      </c>
      <c r="V145">
        <f t="shared" si="27"/>
        <v>0.38803433333333337</v>
      </c>
      <c r="W145">
        <f t="shared" si="28"/>
        <v>-0.5874097525129135</v>
      </c>
      <c r="X145">
        <f t="shared" si="29"/>
        <v>-0.16948500652532414</v>
      </c>
      <c r="Y145">
        <f t="shared" si="30"/>
        <v>23.750475688147866</v>
      </c>
      <c r="Z145">
        <f t="shared" si="31"/>
        <v>11.557396553397774</v>
      </c>
      <c r="AA145">
        <f t="shared" si="32"/>
        <v>11.557396553397774</v>
      </c>
    </row>
    <row r="146" spans="1:27" x14ac:dyDescent="0.3">
      <c r="A146">
        <v>1.0290594666666699</v>
      </c>
      <c r="B146">
        <v>1.3452983999999999</v>
      </c>
      <c r="C146">
        <v>1.02735086666667</v>
      </c>
      <c r="D146">
        <v>0.77</v>
      </c>
      <c r="E146">
        <v>-0.172666666666667</v>
      </c>
      <c r="F146">
        <v>3.8506666666666698</v>
      </c>
      <c r="G146">
        <v>-1.28582E-3</v>
      </c>
      <c r="H146">
        <v>1.1197914533333299E-2</v>
      </c>
      <c r="I146">
        <v>-1.72526293333333E-2</v>
      </c>
      <c r="J146">
        <v>70.2</v>
      </c>
      <c r="K146">
        <v>-203.4</v>
      </c>
      <c r="L146">
        <v>72</v>
      </c>
      <c r="M146">
        <v>1249</v>
      </c>
      <c r="N146">
        <v>-3618</v>
      </c>
      <c r="O146">
        <v>1275</v>
      </c>
      <c r="P146">
        <v>4</v>
      </c>
      <c r="Q146">
        <f t="shared" si="22"/>
        <v>21.32483923260444</v>
      </c>
      <c r="R146">
        <f t="shared" si="23"/>
        <v>0.14507522213026736</v>
      </c>
      <c r="S146">
        <f t="shared" si="24"/>
        <v>7.68</v>
      </c>
      <c r="T146">
        <f t="shared" si="25"/>
        <v>7.8150027376981488E-3</v>
      </c>
      <c r="U146">
        <f t="shared" si="26"/>
        <v>-0.87868429434385764</v>
      </c>
      <c r="V146">
        <f t="shared" si="27"/>
        <v>0.34245028888889001</v>
      </c>
      <c r="W146">
        <f t="shared" si="28"/>
        <v>-0.52841900271726949</v>
      </c>
      <c r="X146">
        <f t="shared" si="29"/>
        <v>-0.16510505885233762</v>
      </c>
      <c r="Y146">
        <f t="shared" si="30"/>
        <v>22.426612706090665</v>
      </c>
      <c r="Z146">
        <f t="shared" si="31"/>
        <v>11.244454426248247</v>
      </c>
      <c r="AA146">
        <f t="shared" si="32"/>
        <v>11.244454426248247</v>
      </c>
    </row>
    <row r="147" spans="1:27" x14ac:dyDescent="0.3">
      <c r="A147">
        <v>3.7606819999999999E-2</v>
      </c>
      <c r="B147">
        <v>5.9829006666666698E-2</v>
      </c>
      <c r="C147">
        <v>2.905982E-2</v>
      </c>
      <c r="D147">
        <v>0.84533333333333305</v>
      </c>
      <c r="E147">
        <v>7.2666666000000005E-2</v>
      </c>
      <c r="F147">
        <v>0.55266666666666697</v>
      </c>
      <c r="G147">
        <v>1.9693991999999998E-3</v>
      </c>
      <c r="H147">
        <v>-8.4472599999999998E-3</v>
      </c>
      <c r="I147">
        <v>-1.57552026666667E-2</v>
      </c>
      <c r="J147">
        <v>-5.4</v>
      </c>
      <c r="K147">
        <v>3.6</v>
      </c>
      <c r="L147">
        <v>0</v>
      </c>
      <c r="M147">
        <v>-61</v>
      </c>
      <c r="N147">
        <v>88</v>
      </c>
      <c r="O147">
        <v>-51</v>
      </c>
      <c r="P147">
        <v>4</v>
      </c>
      <c r="Q147">
        <f t="shared" si="22"/>
        <v>-1.6403722486618799</v>
      </c>
      <c r="R147">
        <f t="shared" si="23"/>
        <v>-2.5677030465534045E-3</v>
      </c>
      <c r="S147">
        <f t="shared" si="24"/>
        <v>0</v>
      </c>
      <c r="T147">
        <f t="shared" si="25"/>
        <v>2.8559807355751178E-4</v>
      </c>
      <c r="U147">
        <f t="shared" si="26"/>
        <v>-3.9077433307133931E-2</v>
      </c>
      <c r="V147">
        <f t="shared" si="27"/>
        <v>9.6866066666666667E-3</v>
      </c>
      <c r="W147">
        <f t="shared" si="28"/>
        <v>-2.9105228566909752E-2</v>
      </c>
      <c r="X147">
        <f t="shared" si="29"/>
        <v>6.5708078275566975E-2</v>
      </c>
      <c r="Y147">
        <f t="shared" si="30"/>
        <v>0</v>
      </c>
      <c r="Z147">
        <f t="shared" si="31"/>
        <v>57.054723670002119</v>
      </c>
      <c r="AA147">
        <f t="shared" si="32"/>
        <v>57.054723670002119</v>
      </c>
    </row>
    <row r="148" spans="1:27" x14ac:dyDescent="0.3">
      <c r="A148">
        <v>1.1674204705882401</v>
      </c>
      <c r="B148">
        <v>1.3061847058823499</v>
      </c>
      <c r="C148">
        <v>1.15535511764706</v>
      </c>
      <c r="D148">
        <v>0.96411764705882397</v>
      </c>
      <c r="E148">
        <v>0.380588235294118</v>
      </c>
      <c r="F148">
        <v>-0.81764705882352895</v>
      </c>
      <c r="G148">
        <v>-2.0536501176470598E-3</v>
      </c>
      <c r="H148">
        <v>7.9848317058823504E-3</v>
      </c>
      <c r="I148">
        <v>-1.00815617058824E-2</v>
      </c>
      <c r="J148">
        <v>-28.588235294117698</v>
      </c>
      <c r="K148">
        <v>-255.70588235294099</v>
      </c>
      <c r="L148">
        <v>416.11764705882399</v>
      </c>
      <c r="M148">
        <v>-591</v>
      </c>
      <c r="N148">
        <v>-4740</v>
      </c>
      <c r="O148">
        <v>7561</v>
      </c>
      <c r="P148">
        <v>4</v>
      </c>
      <c r="Q148">
        <f t="shared" si="22"/>
        <v>-8.684323669386437</v>
      </c>
      <c r="R148">
        <f t="shared" si="23"/>
        <v>0.18238243698313142</v>
      </c>
      <c r="S148">
        <f t="shared" si="24"/>
        <v>44.385882352941223</v>
      </c>
      <c r="T148">
        <f t="shared" si="25"/>
        <v>8.8657599188552826E-3</v>
      </c>
      <c r="U148">
        <f t="shared" si="26"/>
        <v>-0.85313710814713817</v>
      </c>
      <c r="V148">
        <f t="shared" si="27"/>
        <v>0.38511837254901998</v>
      </c>
      <c r="W148">
        <f t="shared" si="28"/>
        <v>-0.45915297567926289</v>
      </c>
      <c r="X148">
        <f t="shared" si="29"/>
        <v>-0.21377857702056072</v>
      </c>
      <c r="Y148">
        <f t="shared" si="30"/>
        <v>115.25257042181633</v>
      </c>
      <c r="Z148">
        <f t="shared" si="31"/>
        <v>-2.1231058217547236</v>
      </c>
      <c r="AA148">
        <f t="shared" si="32"/>
        <v>-2.1231058217547236</v>
      </c>
    </row>
    <row r="149" spans="1:27" x14ac:dyDescent="0.3">
      <c r="A149">
        <v>1.23982058823529</v>
      </c>
      <c r="B149">
        <v>1.3227758823529401</v>
      </c>
      <c r="C149">
        <v>1.1131227058823501</v>
      </c>
      <c r="D149">
        <v>0.63588235294117701</v>
      </c>
      <c r="E149">
        <v>0.182941176470588</v>
      </c>
      <c r="F149">
        <v>-0.61823529411764699</v>
      </c>
      <c r="G149">
        <v>1.434684E-2</v>
      </c>
      <c r="H149">
        <v>1.44043070588235E-2</v>
      </c>
      <c r="I149">
        <v>1.19198052941176E-2</v>
      </c>
      <c r="J149">
        <v>-27</v>
      </c>
      <c r="K149">
        <v>-262.058823529412</v>
      </c>
      <c r="L149">
        <v>424.058823529412</v>
      </c>
      <c r="M149">
        <v>-547</v>
      </c>
      <c r="N149">
        <v>-4944</v>
      </c>
      <c r="O149">
        <v>7933</v>
      </c>
      <c r="P149">
        <v>4</v>
      </c>
      <c r="Q149">
        <f t="shared" si="22"/>
        <v>-8.2018612433093985</v>
      </c>
      <c r="R149">
        <f t="shared" si="23"/>
        <v>0.18691367765352004</v>
      </c>
      <c r="S149">
        <f t="shared" si="24"/>
        <v>45.232941176470611</v>
      </c>
      <c r="T149">
        <f t="shared" si="25"/>
        <v>9.415589288244524E-3</v>
      </c>
      <c r="U149">
        <f t="shared" si="26"/>
        <v>-0.86397366767132622</v>
      </c>
      <c r="V149">
        <f t="shared" si="27"/>
        <v>0.37104090196078338</v>
      </c>
      <c r="W149">
        <f t="shared" si="28"/>
        <v>-0.48351717642229836</v>
      </c>
      <c r="X149">
        <f t="shared" si="29"/>
        <v>-0.21634186856332055</v>
      </c>
      <c r="Y149">
        <f t="shared" si="30"/>
        <v>121.90823420661974</v>
      </c>
      <c r="Z149">
        <f t="shared" si="31"/>
        <v>-1.6662187129520034</v>
      </c>
      <c r="AA149">
        <f t="shared" si="32"/>
        <v>-1.6662187129520034</v>
      </c>
    </row>
    <row r="150" spans="1:27" x14ac:dyDescent="0.3">
      <c r="A150">
        <v>8.7481088235294102E-2</v>
      </c>
      <c r="B150">
        <v>7.3906435294117598E-2</v>
      </c>
      <c r="C150">
        <v>5.1282011764705898E-2</v>
      </c>
      <c r="D150">
        <v>1.01411764705882</v>
      </c>
      <c r="E150">
        <v>0.12529411705882401</v>
      </c>
      <c r="F150">
        <v>0.52647058823529402</v>
      </c>
      <c r="G150">
        <v>6.9077725882352899E-3</v>
      </c>
      <c r="H150">
        <v>1.3643170588235299E-3</v>
      </c>
      <c r="I150">
        <v>3.18818764705882E-3</v>
      </c>
      <c r="J150">
        <v>7.9411764705882399</v>
      </c>
      <c r="K150">
        <v>7.9411764705882399</v>
      </c>
      <c r="L150">
        <v>-4.7647058823529402</v>
      </c>
      <c r="M150">
        <v>176</v>
      </c>
      <c r="N150">
        <v>133</v>
      </c>
      <c r="O150">
        <v>-72</v>
      </c>
      <c r="P150">
        <v>4</v>
      </c>
      <c r="Q150">
        <f t="shared" si="22"/>
        <v>2.4123121303851187</v>
      </c>
      <c r="R150">
        <f t="shared" si="23"/>
        <v>-5.6640508379854539E-3</v>
      </c>
      <c r="S150">
        <f t="shared" si="24"/>
        <v>-0.50823529411764701</v>
      </c>
      <c r="T150">
        <f t="shared" si="25"/>
        <v>6.6435902511073012E-4</v>
      </c>
      <c r="U150">
        <f t="shared" si="26"/>
        <v>-4.8272133486430745E-2</v>
      </c>
      <c r="V150">
        <f t="shared" si="27"/>
        <v>1.7094003921568634E-2</v>
      </c>
      <c r="W150">
        <f t="shared" si="28"/>
        <v>-3.0513770539751382E-2</v>
      </c>
      <c r="X150">
        <f t="shared" si="29"/>
        <v>0.11733582978215815</v>
      </c>
      <c r="Y150">
        <f t="shared" si="30"/>
        <v>-29.731787616848091</v>
      </c>
      <c r="Z150">
        <f t="shared" si="31"/>
        <v>30.798553144767407</v>
      </c>
      <c r="AA150">
        <f t="shared" si="32"/>
        <v>30.798553144767407</v>
      </c>
    </row>
    <row r="151" spans="1:27" x14ac:dyDescent="0.3">
      <c r="A151">
        <v>0.956731</v>
      </c>
      <c r="B151">
        <v>1.1410266250000001</v>
      </c>
      <c r="C151">
        <v>0.99679481250000002</v>
      </c>
      <c r="D151">
        <v>-0.296875</v>
      </c>
      <c r="E151">
        <v>0.40812500000000002</v>
      </c>
      <c r="F151">
        <v>9.8606250000000006</v>
      </c>
      <c r="G151">
        <v>2.8686520000000002E-3</v>
      </c>
      <c r="H151">
        <v>-2.0446761250000001E-2</v>
      </c>
      <c r="I151">
        <v>-1.5624988312499999E-2</v>
      </c>
      <c r="J151">
        <v>101.25</v>
      </c>
      <c r="K151">
        <v>94.5</v>
      </c>
      <c r="L151">
        <v>101.25</v>
      </c>
      <c r="M151">
        <v>1949</v>
      </c>
      <c r="N151">
        <v>1751</v>
      </c>
      <c r="O151">
        <v>1884</v>
      </c>
      <c r="P151">
        <v>4</v>
      </c>
      <c r="Q151">
        <f t="shared" si="22"/>
        <v>30.756979662410245</v>
      </c>
      <c r="R151">
        <f t="shared" si="23"/>
        <v>-6.7402204972026869E-2</v>
      </c>
      <c r="S151">
        <f t="shared" si="24"/>
        <v>10.8</v>
      </c>
      <c r="T151">
        <f t="shared" si="25"/>
        <v>7.2657175084931891E-3</v>
      </c>
      <c r="U151">
        <f t="shared" si="26"/>
        <v>-0.74526378297608808</v>
      </c>
      <c r="V151">
        <f t="shared" si="27"/>
        <v>0.33226493750000002</v>
      </c>
      <c r="W151">
        <f t="shared" si="28"/>
        <v>-0.40573312796759492</v>
      </c>
      <c r="X151">
        <f t="shared" si="29"/>
        <v>9.0440735900069194E-2</v>
      </c>
      <c r="Y151">
        <f t="shared" si="30"/>
        <v>32.504181997837193</v>
      </c>
      <c r="Z151">
        <f t="shared" si="31"/>
        <v>29.676995334483646</v>
      </c>
      <c r="AA151">
        <f t="shared" si="32"/>
        <v>29.676995334483646</v>
      </c>
    </row>
    <row r="152" spans="1:27" x14ac:dyDescent="0.3">
      <c r="A152">
        <v>0.91987081250000002</v>
      </c>
      <c r="B152">
        <v>1.10576925</v>
      </c>
      <c r="C152">
        <v>1.0256415000000001</v>
      </c>
      <c r="D152">
        <v>-0.50312500000000004</v>
      </c>
      <c r="E152">
        <v>0.73124999999999996</v>
      </c>
      <c r="F152">
        <v>9.5487500000000001</v>
      </c>
      <c r="G152">
        <v>4.0893520625000001E-3</v>
      </c>
      <c r="H152">
        <v>-2.670289625E-2</v>
      </c>
      <c r="I152">
        <v>-1.5792841249999998E-2</v>
      </c>
      <c r="J152">
        <v>109.6875</v>
      </c>
      <c r="K152">
        <v>92.8125</v>
      </c>
      <c r="L152">
        <v>106.3125</v>
      </c>
      <c r="M152">
        <v>1851</v>
      </c>
      <c r="N152">
        <v>1647</v>
      </c>
      <c r="O152">
        <v>1759</v>
      </c>
      <c r="P152">
        <v>4</v>
      </c>
      <c r="Q152">
        <f t="shared" si="22"/>
        <v>33.320061300944431</v>
      </c>
      <c r="R152">
        <f t="shared" si="23"/>
        <v>-6.6198594168954961E-2</v>
      </c>
      <c r="S152">
        <f t="shared" si="24"/>
        <v>11.34</v>
      </c>
      <c r="T152">
        <f t="shared" si="25"/>
        <v>6.9857895980511824E-3</v>
      </c>
      <c r="U152">
        <f t="shared" si="26"/>
        <v>-0.72223535919122983</v>
      </c>
      <c r="V152">
        <f t="shared" si="27"/>
        <v>0.34188050000000003</v>
      </c>
      <c r="W152">
        <f t="shared" si="28"/>
        <v>-0.37336906959317862</v>
      </c>
      <c r="X152">
        <f t="shared" si="29"/>
        <v>9.1657924700730739E-2</v>
      </c>
      <c r="Y152">
        <f t="shared" si="30"/>
        <v>33.169484659113344</v>
      </c>
      <c r="Z152">
        <f t="shared" si="31"/>
        <v>27.930080832337612</v>
      </c>
      <c r="AA152">
        <f t="shared" si="32"/>
        <v>27.930080832337612</v>
      </c>
    </row>
    <row r="153" spans="1:27" x14ac:dyDescent="0.3">
      <c r="A153">
        <v>0.30448720000000001</v>
      </c>
      <c r="B153">
        <v>0.40384652500000001</v>
      </c>
      <c r="C153">
        <v>0.32852593749999998</v>
      </c>
      <c r="D153">
        <v>-0.37124999375000001</v>
      </c>
      <c r="E153">
        <v>1.0325</v>
      </c>
      <c r="F153">
        <v>4.0787500000000003</v>
      </c>
      <c r="G153">
        <v>4.0435801874999996E-3</v>
      </c>
      <c r="H153">
        <v>-1.5777594374999999E-2</v>
      </c>
      <c r="I153">
        <v>-1.5197761875E-2</v>
      </c>
      <c r="J153">
        <v>27</v>
      </c>
      <c r="K153">
        <v>27</v>
      </c>
      <c r="L153">
        <v>32.0625</v>
      </c>
      <c r="M153">
        <v>544</v>
      </c>
      <c r="N153">
        <v>426</v>
      </c>
      <c r="O153">
        <v>542</v>
      </c>
      <c r="P153">
        <v>4</v>
      </c>
      <c r="Q153">
        <f t="shared" si="22"/>
        <v>8.2018612433093985</v>
      </c>
      <c r="R153">
        <f t="shared" si="23"/>
        <v>-1.9257772849150534E-2</v>
      </c>
      <c r="S153">
        <f t="shared" si="24"/>
        <v>3.42</v>
      </c>
      <c r="T153">
        <f t="shared" si="25"/>
        <v>2.3123720044109235E-3</v>
      </c>
      <c r="U153">
        <f t="shared" si="26"/>
        <v>-0.26377315162408882</v>
      </c>
      <c r="V153">
        <f t="shared" si="27"/>
        <v>0.10950864583333332</v>
      </c>
      <c r="W153">
        <f t="shared" si="28"/>
        <v>-0.15195213378634459</v>
      </c>
      <c r="X153">
        <f t="shared" si="29"/>
        <v>7.3008843889447006E-2</v>
      </c>
      <c r="Y153">
        <f t="shared" si="30"/>
        <v>31.230410840848755</v>
      </c>
      <c r="Z153">
        <f t="shared" si="31"/>
        <v>37.245917607342655</v>
      </c>
      <c r="AA153">
        <f t="shared" si="32"/>
        <v>37.245917607342655</v>
      </c>
    </row>
    <row r="154" spans="1:27" x14ac:dyDescent="0.3">
      <c r="A154">
        <v>0.82393166666666695</v>
      </c>
      <c r="B154">
        <v>1.0752135333333299</v>
      </c>
      <c r="C154">
        <v>0.76923086666666696</v>
      </c>
      <c r="D154">
        <v>9.4666666666666704E-2</v>
      </c>
      <c r="E154">
        <v>-1.2853333333333301</v>
      </c>
      <c r="F154">
        <v>28.176666666666701</v>
      </c>
      <c r="G154">
        <v>1.0465494000000001E-2</v>
      </c>
      <c r="H154">
        <v>-6.5107866666666504E-4</v>
      </c>
      <c r="I154">
        <v>8.2193939999999997E-3</v>
      </c>
      <c r="J154">
        <v>298.8</v>
      </c>
      <c r="K154">
        <v>279</v>
      </c>
      <c r="L154">
        <v>309.60000000000002</v>
      </c>
      <c r="M154">
        <v>5234</v>
      </c>
      <c r="N154">
        <v>4849</v>
      </c>
      <c r="O154">
        <v>5302</v>
      </c>
      <c r="P154">
        <v>4</v>
      </c>
      <c r="Q154">
        <f t="shared" si="22"/>
        <v>90.76726442595735</v>
      </c>
      <c r="R154">
        <f t="shared" si="23"/>
        <v>-0.19899698610788885</v>
      </c>
      <c r="S154">
        <f t="shared" si="24"/>
        <v>33.024000000000001</v>
      </c>
      <c r="T154">
        <f t="shared" si="25"/>
        <v>6.2571974110820867E-3</v>
      </c>
      <c r="U154">
        <f t="shared" si="26"/>
        <v>-0.7022778327885939</v>
      </c>
      <c r="V154">
        <f t="shared" si="27"/>
        <v>0.256410288888889</v>
      </c>
      <c r="W154">
        <f t="shared" si="28"/>
        <v>-0.43961034648862279</v>
      </c>
      <c r="X154">
        <f t="shared" si="29"/>
        <v>0.28335934414690939</v>
      </c>
      <c r="Y154">
        <f t="shared" si="30"/>
        <v>128.79358368614601</v>
      </c>
      <c r="Z154">
        <f t="shared" si="31"/>
        <v>109.88898608072851</v>
      </c>
      <c r="AA154">
        <f t="shared" si="32"/>
        <v>109.88898608072851</v>
      </c>
    </row>
    <row r="155" spans="1:27" x14ac:dyDescent="0.3">
      <c r="A155">
        <v>0.88376053333333304</v>
      </c>
      <c r="B155">
        <v>1.073504</v>
      </c>
      <c r="C155">
        <v>0.80170953333333295</v>
      </c>
      <c r="D155">
        <v>0.27600000000000002</v>
      </c>
      <c r="E155">
        <v>-1.61666666666667</v>
      </c>
      <c r="F155">
        <v>28.360666666666699</v>
      </c>
      <c r="G155">
        <v>6.3964859999999998E-3</v>
      </c>
      <c r="H155">
        <v>-4.8990866666666702E-3</v>
      </c>
      <c r="I155">
        <v>-1.1751299999999999E-2</v>
      </c>
      <c r="J155">
        <v>300.60000000000002</v>
      </c>
      <c r="K155">
        <v>280.8</v>
      </c>
      <c r="L155">
        <v>300.60000000000002</v>
      </c>
      <c r="M155">
        <v>4784</v>
      </c>
      <c r="N155">
        <v>4570</v>
      </c>
      <c r="O155">
        <v>4885</v>
      </c>
      <c r="P155">
        <v>4</v>
      </c>
      <c r="Q155">
        <f t="shared" si="22"/>
        <v>91.314055175511314</v>
      </c>
      <c r="R155">
        <f t="shared" si="23"/>
        <v>-0.20028083763116555</v>
      </c>
      <c r="S155">
        <f t="shared" si="24"/>
        <v>32.064</v>
      </c>
      <c r="T155">
        <f t="shared" si="25"/>
        <v>6.7115567284380629E-3</v>
      </c>
      <c r="U155">
        <f t="shared" si="26"/>
        <v>-0.70116124773158772</v>
      </c>
      <c r="V155">
        <f t="shared" si="27"/>
        <v>0.26723651111111096</v>
      </c>
      <c r="W155">
        <f t="shared" si="28"/>
        <v>-0.42721317989203872</v>
      </c>
      <c r="X155">
        <f t="shared" si="29"/>
        <v>0.28564162420430184</v>
      </c>
      <c r="Y155">
        <f t="shared" si="30"/>
        <v>119.98360503467472</v>
      </c>
      <c r="Z155">
        <f t="shared" si="31"/>
        <v>106.12571818405071</v>
      </c>
      <c r="AA155">
        <f t="shared" si="32"/>
        <v>106.12571818405071</v>
      </c>
    </row>
    <row r="156" spans="1:27" x14ac:dyDescent="0.3">
      <c r="A156">
        <v>0.84444453333333303</v>
      </c>
      <c r="B156">
        <v>1.06324786666667</v>
      </c>
      <c r="C156">
        <v>0.78119646666666698</v>
      </c>
      <c r="D156">
        <v>0.26333333333333298</v>
      </c>
      <c r="E156">
        <v>-1.39333333333333</v>
      </c>
      <c r="F156">
        <v>26.788</v>
      </c>
      <c r="G156">
        <v>1.33789106666667E-2</v>
      </c>
      <c r="H156">
        <v>2.84016753333333E-2</v>
      </c>
      <c r="I156">
        <v>-4.0690053333333302E-3</v>
      </c>
      <c r="J156">
        <v>271.8</v>
      </c>
      <c r="K156">
        <v>259.2</v>
      </c>
      <c r="L156">
        <v>280.8</v>
      </c>
      <c r="M156">
        <v>4905</v>
      </c>
      <c r="N156">
        <v>4655</v>
      </c>
      <c r="O156">
        <v>5038</v>
      </c>
      <c r="P156">
        <v>4</v>
      </c>
      <c r="Q156">
        <f t="shared" si="22"/>
        <v>82.565403182647955</v>
      </c>
      <c r="R156">
        <f t="shared" si="23"/>
        <v>-0.18487461935184513</v>
      </c>
      <c r="S156">
        <f t="shared" si="24"/>
        <v>29.952000000000002</v>
      </c>
      <c r="T156">
        <f t="shared" si="25"/>
        <v>6.4129786019177367E-3</v>
      </c>
      <c r="U156">
        <f t="shared" si="26"/>
        <v>-0.69446243408496955</v>
      </c>
      <c r="V156">
        <f t="shared" si="27"/>
        <v>0.26039882222222233</v>
      </c>
      <c r="W156">
        <f t="shared" si="28"/>
        <v>-0.42765063326082953</v>
      </c>
      <c r="X156">
        <f t="shared" si="29"/>
        <v>0.26621255560847973</v>
      </c>
      <c r="Y156">
        <f t="shared" si="30"/>
        <v>115.0235617211786</v>
      </c>
      <c r="Z156">
        <f t="shared" si="31"/>
        <v>102.87296913017268</v>
      </c>
      <c r="AA156">
        <f t="shared" si="32"/>
        <v>102.87296913017268</v>
      </c>
    </row>
    <row r="157" spans="1:27" x14ac:dyDescent="0.3">
      <c r="A157">
        <v>0.835165357142857</v>
      </c>
      <c r="B157">
        <v>1.1849812142857099</v>
      </c>
      <c r="C157">
        <v>0.85164857142857098</v>
      </c>
      <c r="D157">
        <v>-0.5</v>
      </c>
      <c r="E157">
        <v>-3.7392857142857099</v>
      </c>
      <c r="F157">
        <v>66.175714285714307</v>
      </c>
      <c r="G157">
        <v>2.6506613571428599E-3</v>
      </c>
      <c r="H157">
        <v>-2.0350790714285701E-2</v>
      </c>
      <c r="I157">
        <v>1.5520885714285801E-3</v>
      </c>
      <c r="J157">
        <v>690.42857142857099</v>
      </c>
      <c r="K157">
        <v>676.92857142857099</v>
      </c>
      <c r="L157">
        <v>700.07142857142901</v>
      </c>
      <c r="M157">
        <v>11668</v>
      </c>
      <c r="N157">
        <v>11211</v>
      </c>
      <c r="O157">
        <v>11659</v>
      </c>
      <c r="P157">
        <v>4</v>
      </c>
      <c r="Q157">
        <f t="shared" si="22"/>
        <v>209.7333089360545</v>
      </c>
      <c r="R157">
        <f t="shared" si="23"/>
        <v>-0.48281987643227381</v>
      </c>
      <c r="S157">
        <f t="shared" si="24"/>
        <v>74.674285714285759</v>
      </c>
      <c r="T157">
        <f t="shared" si="25"/>
        <v>6.3425096060228253E-3</v>
      </c>
      <c r="U157">
        <f t="shared" si="26"/>
        <v>-0.77397280936732449</v>
      </c>
      <c r="V157">
        <f t="shared" si="27"/>
        <v>0.28388285714285699</v>
      </c>
      <c r="W157">
        <f t="shared" si="28"/>
        <v>-0.48374744261844471</v>
      </c>
      <c r="X157">
        <f t="shared" si="29"/>
        <v>0.623820204778188</v>
      </c>
      <c r="Y157">
        <f t="shared" si="30"/>
        <v>263.04612566551623</v>
      </c>
      <c r="Z157">
        <f t="shared" si="31"/>
        <v>233.10923016536015</v>
      </c>
      <c r="AA157">
        <f t="shared" si="32"/>
        <v>233.10923016536015</v>
      </c>
    </row>
    <row r="158" spans="1:27" x14ac:dyDescent="0.3">
      <c r="A158">
        <v>0.92490871428571397</v>
      </c>
      <c r="B158">
        <v>1.10256328571429</v>
      </c>
      <c r="C158">
        <v>0.82967049999999998</v>
      </c>
      <c r="D158">
        <v>-0.69357142857142895</v>
      </c>
      <c r="E158">
        <v>-3.5735714285714302</v>
      </c>
      <c r="F158">
        <v>66.365714285714304</v>
      </c>
      <c r="G158">
        <v>-4.1329571428571398E-3</v>
      </c>
      <c r="H158">
        <v>4.5689571428571404E-3</v>
      </c>
      <c r="I158">
        <v>-1.40729971428571E-2</v>
      </c>
      <c r="J158">
        <v>684.642857142857</v>
      </c>
      <c r="K158">
        <v>678.857142857143</v>
      </c>
      <c r="L158">
        <v>694.28571428571399</v>
      </c>
      <c r="M158">
        <v>11136</v>
      </c>
      <c r="N158">
        <v>10896</v>
      </c>
      <c r="O158">
        <v>11302</v>
      </c>
      <c r="P158">
        <v>4</v>
      </c>
      <c r="Q158">
        <f t="shared" si="22"/>
        <v>207.97576724105969</v>
      </c>
      <c r="R158">
        <f t="shared" si="23"/>
        <v>-0.48419543163578493</v>
      </c>
      <c r="S158">
        <f t="shared" si="24"/>
        <v>74.057142857142821</v>
      </c>
      <c r="T158">
        <f t="shared" si="25"/>
        <v>7.0240490160177063E-3</v>
      </c>
      <c r="U158">
        <f t="shared" si="26"/>
        <v>-0.7201413773162193</v>
      </c>
      <c r="V158">
        <f t="shared" si="27"/>
        <v>0.27655683333333331</v>
      </c>
      <c r="W158">
        <f t="shared" si="28"/>
        <v>-0.43656049496686827</v>
      </c>
      <c r="X158">
        <f t="shared" si="29"/>
        <v>0.67236163187880704</v>
      </c>
      <c r="Y158">
        <f t="shared" si="30"/>
        <v>267.78272648169184</v>
      </c>
      <c r="Z158">
        <f t="shared" si="31"/>
        <v>239.97134146283727</v>
      </c>
      <c r="AA158">
        <f t="shared" si="32"/>
        <v>239.97134146283727</v>
      </c>
    </row>
    <row r="159" spans="1:27" x14ac:dyDescent="0.3">
      <c r="A159">
        <v>0.85348000000000002</v>
      </c>
      <c r="B159">
        <v>1.0183145</v>
      </c>
      <c r="C159">
        <v>0.89377300000000004</v>
      </c>
      <c r="D159">
        <v>-5.3571428571428499E-2</v>
      </c>
      <c r="E159">
        <v>-3.9914285714285702</v>
      </c>
      <c r="F159">
        <v>66.505714285714305</v>
      </c>
      <c r="G159">
        <v>9.1552357142857203E-3</v>
      </c>
      <c r="H159">
        <v>-8.0147934357142903E-2</v>
      </c>
      <c r="I159">
        <v>-1.14222312142857E-2</v>
      </c>
      <c r="J159">
        <v>698.142857142857</v>
      </c>
      <c r="K159">
        <v>682.71428571428601</v>
      </c>
      <c r="L159">
        <v>690.42857142857099</v>
      </c>
      <c r="M159">
        <v>11153</v>
      </c>
      <c r="N159">
        <v>10912</v>
      </c>
      <c r="O159">
        <v>11255</v>
      </c>
      <c r="P159">
        <v>4</v>
      </c>
      <c r="Q159">
        <f t="shared" si="22"/>
        <v>212.07669786271441</v>
      </c>
      <c r="R159">
        <f t="shared" si="23"/>
        <v>-0.48694654204280657</v>
      </c>
      <c r="S159">
        <f t="shared" si="24"/>
        <v>73.645714285714234</v>
      </c>
      <c r="T159">
        <f t="shared" si="25"/>
        <v>6.4815967906849126E-3</v>
      </c>
      <c r="U159">
        <f t="shared" si="26"/>
        <v>-0.66511411732342673</v>
      </c>
      <c r="V159">
        <f t="shared" si="27"/>
        <v>0.29792433333333335</v>
      </c>
      <c r="W159">
        <f t="shared" si="28"/>
        <v>-0.36070818719940845</v>
      </c>
      <c r="X159">
        <f t="shared" si="29"/>
        <v>0.73212480288704773</v>
      </c>
      <c r="Y159">
        <f t="shared" si="30"/>
        <v>247.19603619391356</v>
      </c>
      <c r="Z159">
        <f t="shared" si="31"/>
        <v>223.2302193701789</v>
      </c>
      <c r="AA159">
        <f t="shared" si="32"/>
        <v>223.2302193701789</v>
      </c>
    </row>
    <row r="160" spans="1:27" x14ac:dyDescent="0.3">
      <c r="A160">
        <v>0.77264980000000005</v>
      </c>
      <c r="B160">
        <v>0</v>
      </c>
      <c r="C160">
        <v>0.74017120000000003</v>
      </c>
      <c r="D160">
        <v>0.68666666666666698</v>
      </c>
      <c r="E160">
        <v>7.2666666666666699E-2</v>
      </c>
      <c r="F160">
        <v>0.708666666666667</v>
      </c>
      <c r="G160">
        <v>1.6275934E-3</v>
      </c>
      <c r="H160">
        <v>6.2988291999999998E-3</v>
      </c>
      <c r="I160">
        <v>2.2949306666666699E-3</v>
      </c>
      <c r="J160">
        <v>-257.39999999999998</v>
      </c>
      <c r="K160">
        <v>-1.8</v>
      </c>
      <c r="L160">
        <v>261</v>
      </c>
      <c r="M160">
        <v>-4120</v>
      </c>
      <c r="N160">
        <v>-7</v>
      </c>
      <c r="O160">
        <v>4126</v>
      </c>
      <c r="P160">
        <v>5</v>
      </c>
      <c r="Q160">
        <f t="shared" si="22"/>
        <v>-78.191077186216262</v>
      </c>
      <c r="R160">
        <f t="shared" si="23"/>
        <v>1.2838515232767023E-3</v>
      </c>
      <c r="S160">
        <f t="shared" si="24"/>
        <v>27.84</v>
      </c>
      <c r="T160">
        <f t="shared" si="25"/>
        <v>5.8677467122877393E-3</v>
      </c>
      <c r="U160">
        <f t="shared" si="26"/>
        <v>0</v>
      </c>
      <c r="V160">
        <f t="shared" si="27"/>
        <v>0.24672373333333333</v>
      </c>
      <c r="W160">
        <f t="shared" si="28"/>
        <v>0.2525914800456211</v>
      </c>
      <c r="X160" t="e">
        <f t="shared" si="29"/>
        <v>#DIV/0!</v>
      </c>
      <c r="Y160">
        <f t="shared" si="30"/>
        <v>112.83875946537773</v>
      </c>
      <c r="Z160">
        <f t="shared" si="31"/>
        <v>2.8723084605291329</v>
      </c>
      <c r="AA160">
        <f t="shared" si="32"/>
        <v>2.8723084605291329</v>
      </c>
    </row>
    <row r="161" spans="1:27" x14ac:dyDescent="0.3">
      <c r="A161">
        <v>0.82906000000000002</v>
      </c>
      <c r="B161">
        <v>6.8376133333333299E-3</v>
      </c>
      <c r="C161">
        <v>0.79487186666666698</v>
      </c>
      <c r="D161">
        <v>0.99133333333333395</v>
      </c>
      <c r="E161">
        <v>6.2E-2</v>
      </c>
      <c r="F161">
        <v>0.63666665333333305</v>
      </c>
      <c r="G161">
        <v>4.54101433333333E-3</v>
      </c>
      <c r="H161">
        <v>4.9316446666666696E-3</v>
      </c>
      <c r="I161">
        <v>-5.8268228E-3</v>
      </c>
      <c r="J161">
        <v>-246.6</v>
      </c>
      <c r="K161">
        <v>1.8</v>
      </c>
      <c r="L161">
        <v>270</v>
      </c>
      <c r="M161">
        <v>-4057</v>
      </c>
      <c r="N161">
        <v>9</v>
      </c>
      <c r="O161">
        <v>4124</v>
      </c>
      <c r="P161">
        <v>5</v>
      </c>
      <c r="Q161">
        <f t="shared" si="22"/>
        <v>-74.91033268889251</v>
      </c>
      <c r="R161">
        <f t="shared" si="23"/>
        <v>-1.2838515232767023E-3</v>
      </c>
      <c r="S161">
        <f t="shared" si="24"/>
        <v>28.8</v>
      </c>
      <c r="T161">
        <f t="shared" si="25"/>
        <v>6.2961435947945276E-3</v>
      </c>
      <c r="U161">
        <f t="shared" si="26"/>
        <v>-4.4660005890114415E-3</v>
      </c>
      <c r="V161">
        <f t="shared" si="27"/>
        <v>0.26495728888888898</v>
      </c>
      <c r="W161">
        <f t="shared" si="28"/>
        <v>0.26678743189467208</v>
      </c>
      <c r="X161">
        <f t="shared" si="29"/>
        <v>0.28747231391675332</v>
      </c>
      <c r="Y161">
        <f t="shared" si="30"/>
        <v>108.69676437577608</v>
      </c>
      <c r="Z161">
        <f t="shared" si="31"/>
        <v>2.402902958447473</v>
      </c>
      <c r="AA161">
        <f t="shared" si="32"/>
        <v>2.402902958447473</v>
      </c>
    </row>
    <row r="162" spans="1:27" x14ac:dyDescent="0.3">
      <c r="A162">
        <v>0.72991479999999997</v>
      </c>
      <c r="B162">
        <v>1.36752066666667E-2</v>
      </c>
      <c r="C162">
        <v>0.74529939999999995</v>
      </c>
      <c r="D162">
        <v>0.81666666666666698</v>
      </c>
      <c r="E162">
        <v>0.19399998666666701</v>
      </c>
      <c r="F162">
        <v>0.93600000000000005</v>
      </c>
      <c r="G162">
        <v>-3.74352E-4</v>
      </c>
      <c r="H162">
        <v>1.41601573333333E-2</v>
      </c>
      <c r="I162">
        <v>-9.8307306666666709E-3</v>
      </c>
      <c r="J162">
        <v>-257.39999999999998</v>
      </c>
      <c r="K162">
        <v>0</v>
      </c>
      <c r="L162">
        <v>259.2</v>
      </c>
      <c r="M162">
        <v>-4132</v>
      </c>
      <c r="N162">
        <v>-13</v>
      </c>
      <c r="O162">
        <v>4157</v>
      </c>
      <c r="P162">
        <v>5</v>
      </c>
      <c r="Q162">
        <f t="shared" si="22"/>
        <v>-78.191077186216262</v>
      </c>
      <c r="R162">
        <f t="shared" si="23"/>
        <v>0</v>
      </c>
      <c r="S162">
        <f t="shared" si="24"/>
        <v>27.648</v>
      </c>
      <c r="T162">
        <f t="shared" si="25"/>
        <v>5.5432036194795658E-3</v>
      </c>
      <c r="U162">
        <f t="shared" si="26"/>
        <v>-8.9319881149835956E-3</v>
      </c>
      <c r="V162">
        <f t="shared" si="27"/>
        <v>0.24843313333333331</v>
      </c>
      <c r="W162">
        <f t="shared" si="28"/>
        <v>0.24504434883782927</v>
      </c>
      <c r="X162">
        <f t="shared" si="29"/>
        <v>0</v>
      </c>
      <c r="Y162">
        <f t="shared" si="30"/>
        <v>111.2895032519817</v>
      </c>
      <c r="Z162">
        <f t="shared" si="31"/>
        <v>3.7676133913431307</v>
      </c>
      <c r="AA162">
        <f t="shared" si="32"/>
        <v>3.7676133913431307</v>
      </c>
    </row>
    <row r="163" spans="1:27" x14ac:dyDescent="0.3">
      <c r="A163">
        <v>0.47521353333333299</v>
      </c>
      <c r="B163">
        <v>0.89401706666666703</v>
      </c>
      <c r="C163">
        <v>0.44444420000000001</v>
      </c>
      <c r="D163">
        <v>0.77400000000000002</v>
      </c>
      <c r="E163">
        <v>0.17199999999999999</v>
      </c>
      <c r="F163">
        <v>-0.29533334</v>
      </c>
      <c r="G163">
        <v>1.1962894666666699E-2</v>
      </c>
      <c r="H163">
        <v>1.5625001333333301E-2</v>
      </c>
      <c r="I163">
        <v>5.92448066666667E-3</v>
      </c>
      <c r="J163">
        <v>145.80000000000001</v>
      </c>
      <c r="K163">
        <v>-309.60000000000002</v>
      </c>
      <c r="L163">
        <v>153</v>
      </c>
      <c r="M163">
        <v>2373</v>
      </c>
      <c r="N163">
        <v>-4934</v>
      </c>
      <c r="O163">
        <v>2426</v>
      </c>
      <c r="P163">
        <v>5</v>
      </c>
      <c r="Q163">
        <f t="shared" si="22"/>
        <v>44.290050713870755</v>
      </c>
      <c r="R163">
        <f t="shared" si="23"/>
        <v>0.22082246200359282</v>
      </c>
      <c r="S163">
        <f t="shared" si="24"/>
        <v>16.32</v>
      </c>
      <c r="T163">
        <f t="shared" si="25"/>
        <v>3.6089217234655398E-3</v>
      </c>
      <c r="U163">
        <f t="shared" si="26"/>
        <v>-0.58392900441668993</v>
      </c>
      <c r="V163">
        <f t="shared" si="27"/>
        <v>0.14814806666666666</v>
      </c>
      <c r="W163">
        <f t="shared" si="28"/>
        <v>-0.43217201602655775</v>
      </c>
      <c r="X163">
        <f t="shared" si="29"/>
        <v>-0.37816662699291881</v>
      </c>
      <c r="Y163">
        <f t="shared" si="30"/>
        <v>110.16006058803333</v>
      </c>
      <c r="Z163">
        <f t="shared" si="31"/>
        <v>-1.9935011414256278</v>
      </c>
      <c r="AA163">
        <f t="shared" si="32"/>
        <v>-1.9935011414256278</v>
      </c>
    </row>
    <row r="164" spans="1:27" x14ac:dyDescent="0.3">
      <c r="A164">
        <v>0.398290266666667</v>
      </c>
      <c r="B164">
        <v>0.82905986666666698</v>
      </c>
      <c r="C164">
        <v>0.41709386666666698</v>
      </c>
      <c r="D164">
        <v>0.90200000000000002</v>
      </c>
      <c r="E164">
        <v>-0.103333333333333</v>
      </c>
      <c r="F164">
        <v>0.56599999999999995</v>
      </c>
      <c r="G164">
        <v>-3.5807599999999998E-4</v>
      </c>
      <c r="H164">
        <v>-1.0139976E-2</v>
      </c>
      <c r="I164">
        <v>-2.4902346666666698E-3</v>
      </c>
      <c r="J164">
        <v>149.4</v>
      </c>
      <c r="K164">
        <v>-313.2</v>
      </c>
      <c r="L164">
        <v>147.6</v>
      </c>
      <c r="M164">
        <v>2556</v>
      </c>
      <c r="N164">
        <v>-5199</v>
      </c>
      <c r="O164">
        <v>2580</v>
      </c>
      <c r="P164">
        <v>5</v>
      </c>
      <c r="Q164">
        <f t="shared" si="22"/>
        <v>45.383632212978675</v>
      </c>
      <c r="R164">
        <f t="shared" si="23"/>
        <v>0.22339016505014619</v>
      </c>
      <c r="S164">
        <f t="shared" si="24"/>
        <v>15.744</v>
      </c>
      <c r="T164">
        <f t="shared" si="25"/>
        <v>3.0247421312599087E-3</v>
      </c>
      <c r="U164">
        <f t="shared" si="26"/>
        <v>-0.54150208155366353</v>
      </c>
      <c r="V164">
        <f t="shared" si="27"/>
        <v>0.13903128888888899</v>
      </c>
      <c r="W164">
        <f t="shared" si="28"/>
        <v>-0.39944605053351462</v>
      </c>
      <c r="X164">
        <f t="shared" si="29"/>
        <v>-0.41253796182869878</v>
      </c>
      <c r="Y164">
        <f t="shared" si="30"/>
        <v>113.24069657861179</v>
      </c>
      <c r="Z164">
        <f t="shared" si="31"/>
        <v>4.071026058402837</v>
      </c>
      <c r="AA164">
        <f t="shared" si="32"/>
        <v>4.071026058402837</v>
      </c>
    </row>
    <row r="165" spans="1:27" x14ac:dyDescent="0.3">
      <c r="A165">
        <v>0.42393154</v>
      </c>
      <c r="B165">
        <v>0.75213700000000006</v>
      </c>
      <c r="C165">
        <v>0.398290266666667</v>
      </c>
      <c r="D165">
        <v>1.20333333333333</v>
      </c>
      <c r="E165">
        <v>0.582666666666667</v>
      </c>
      <c r="F165">
        <v>-0.41599999999999998</v>
      </c>
      <c r="G165">
        <v>-2.1972666E-3</v>
      </c>
      <c r="H165">
        <v>1.4550808E-2</v>
      </c>
      <c r="I165">
        <v>-1.22070294666667E-2</v>
      </c>
      <c r="J165">
        <v>147.6</v>
      </c>
      <c r="K165">
        <v>-298.8</v>
      </c>
      <c r="L165">
        <v>142.19999999999999</v>
      </c>
      <c r="M165">
        <v>2272</v>
      </c>
      <c r="N165">
        <v>-4735</v>
      </c>
      <c r="O165">
        <v>2265</v>
      </c>
      <c r="P165">
        <v>5</v>
      </c>
      <c r="Q165">
        <f t="shared" si="22"/>
        <v>44.836841463424705</v>
      </c>
      <c r="R165">
        <f t="shared" si="23"/>
        <v>0.21311935286393258</v>
      </c>
      <c r="S165">
        <f t="shared" si="24"/>
        <v>15.167999999999999</v>
      </c>
      <c r="T165">
        <f t="shared" si="25"/>
        <v>3.2194700627245073E-3</v>
      </c>
      <c r="U165">
        <f t="shared" si="26"/>
        <v>-0.49125975998700822</v>
      </c>
      <c r="V165">
        <f t="shared" si="27"/>
        <v>0.13276342222222234</v>
      </c>
      <c r="W165">
        <f t="shared" si="28"/>
        <v>-0.35527686770206135</v>
      </c>
      <c r="X165">
        <f t="shared" si="29"/>
        <v>-0.4338221247137537</v>
      </c>
      <c r="Y165">
        <f t="shared" si="30"/>
        <v>114.24833546857106</v>
      </c>
      <c r="Z165">
        <f t="shared" si="31"/>
        <v>-3.1333931668595438</v>
      </c>
      <c r="AA165">
        <f t="shared" si="32"/>
        <v>-3.1333931668595438</v>
      </c>
    </row>
    <row r="166" spans="1:27" x14ac:dyDescent="0.3">
      <c r="A166">
        <v>0.36698687499999999</v>
      </c>
      <c r="B166">
        <v>0.72916687499999999</v>
      </c>
      <c r="C166">
        <v>0.77403862499999998</v>
      </c>
      <c r="D166">
        <v>0.25624999999999998</v>
      </c>
      <c r="E166">
        <v>-1.6874993750000001E-2</v>
      </c>
      <c r="F166">
        <v>1.5218750000000001</v>
      </c>
      <c r="G166">
        <v>1.45874075E-2</v>
      </c>
      <c r="H166">
        <v>1.42211936875E-2</v>
      </c>
      <c r="I166">
        <v>-3.5858267499999999E-3</v>
      </c>
      <c r="J166">
        <v>-101.25</v>
      </c>
      <c r="K166">
        <v>-313.875</v>
      </c>
      <c r="L166">
        <v>447.1875</v>
      </c>
      <c r="M166">
        <v>-1796</v>
      </c>
      <c r="N166">
        <v>-5535</v>
      </c>
      <c r="O166">
        <v>7826</v>
      </c>
      <c r="P166">
        <v>5</v>
      </c>
      <c r="Q166">
        <f t="shared" si="22"/>
        <v>-30.756979662410245</v>
      </c>
      <c r="R166">
        <f t="shared" si="23"/>
        <v>0.22387160937137496</v>
      </c>
      <c r="S166">
        <f t="shared" si="24"/>
        <v>47.7</v>
      </c>
      <c r="T166">
        <f t="shared" si="25"/>
        <v>2.787014284134936E-3</v>
      </c>
      <c r="U166">
        <f t="shared" si="26"/>
        <v>-0.47625677769206509</v>
      </c>
      <c r="V166">
        <f t="shared" si="27"/>
        <v>0.25801287499999997</v>
      </c>
      <c r="W166">
        <f t="shared" si="28"/>
        <v>-0.2154568884079302</v>
      </c>
      <c r="X166">
        <f t="shared" si="29"/>
        <v>-0.47006493105726332</v>
      </c>
      <c r="Y166">
        <f t="shared" si="30"/>
        <v>184.87449511967188</v>
      </c>
      <c r="Z166">
        <f t="shared" si="31"/>
        <v>5.8984459593343948</v>
      </c>
      <c r="AA166">
        <f t="shared" si="32"/>
        <v>5.8984459593343948</v>
      </c>
    </row>
    <row r="167" spans="1:27" x14ac:dyDescent="0.3">
      <c r="A167">
        <v>0.33173043749999997</v>
      </c>
      <c r="B167">
        <v>0.72756437500000004</v>
      </c>
      <c r="C167">
        <v>0.79166674999999997</v>
      </c>
      <c r="D167">
        <v>0.98624999999999996</v>
      </c>
      <c r="E167">
        <v>-4.0625000000000001E-2</v>
      </c>
      <c r="F167">
        <v>1.2524999999999999</v>
      </c>
      <c r="G167">
        <v>1.3565059875E-2</v>
      </c>
      <c r="H167">
        <v>6.0424850000000002E-3</v>
      </c>
      <c r="I167">
        <v>9.5977725000000007E-3</v>
      </c>
      <c r="J167">
        <v>-111.375</v>
      </c>
      <c r="K167">
        <v>-317.25</v>
      </c>
      <c r="L167">
        <v>442.125</v>
      </c>
      <c r="M167">
        <v>-1827</v>
      </c>
      <c r="N167">
        <v>-5453</v>
      </c>
      <c r="O167">
        <v>7713</v>
      </c>
      <c r="P167">
        <v>5</v>
      </c>
      <c r="Q167">
        <f t="shared" si="22"/>
        <v>-33.832677628651268</v>
      </c>
      <c r="R167">
        <f t="shared" si="23"/>
        <v>0.22627883097751877</v>
      </c>
      <c r="S167">
        <f t="shared" si="24"/>
        <v>47.16</v>
      </c>
      <c r="T167">
        <f t="shared" si="25"/>
        <v>2.5192657579234451E-3</v>
      </c>
      <c r="U167">
        <f t="shared" si="26"/>
        <v>-0.47521010166711336</v>
      </c>
      <c r="V167">
        <f t="shared" si="27"/>
        <v>0.26388891666666664</v>
      </c>
      <c r="W167">
        <f t="shared" si="28"/>
        <v>-0.20880191924252328</v>
      </c>
      <c r="X167">
        <f t="shared" si="29"/>
        <v>-0.47616586891502577</v>
      </c>
      <c r="Y167">
        <f t="shared" si="30"/>
        <v>178.71156013562526</v>
      </c>
      <c r="Z167">
        <f t="shared" si="31"/>
        <v>4.746315289861549</v>
      </c>
      <c r="AA167">
        <f t="shared" si="32"/>
        <v>4.746315289861549</v>
      </c>
    </row>
    <row r="168" spans="1:27" x14ac:dyDescent="0.3">
      <c r="A168">
        <v>0.14583319375000001</v>
      </c>
      <c r="B168">
        <v>0.44711550625000002</v>
      </c>
      <c r="C168">
        <v>0.49839750625000001</v>
      </c>
      <c r="D168">
        <v>0.79437500000000005</v>
      </c>
      <c r="E168">
        <v>1.2500000000000001E-2</v>
      </c>
      <c r="F168">
        <v>1.201875</v>
      </c>
      <c r="G168">
        <v>7.0495618749999997E-3</v>
      </c>
      <c r="H168">
        <v>4.8171996874999998E-2</v>
      </c>
      <c r="I168">
        <v>1.48010125E-3</v>
      </c>
      <c r="J168">
        <v>-67.5</v>
      </c>
      <c r="K168">
        <v>-172.125</v>
      </c>
      <c r="L168">
        <v>253.125</v>
      </c>
      <c r="M168">
        <v>-1178</v>
      </c>
      <c r="N168">
        <v>-3264</v>
      </c>
      <c r="O168">
        <v>4621</v>
      </c>
      <c r="P168">
        <v>5</v>
      </c>
      <c r="Q168">
        <f t="shared" si="22"/>
        <v>-20.504653108273494</v>
      </c>
      <c r="R168">
        <f t="shared" si="23"/>
        <v>0.12276830191333465</v>
      </c>
      <c r="S168">
        <f t="shared" si="24"/>
        <v>27</v>
      </c>
      <c r="T168">
        <f t="shared" si="25"/>
        <v>1.1075033516723661E-3</v>
      </c>
      <c r="U168">
        <f t="shared" si="26"/>
        <v>-0.29203437177913688</v>
      </c>
      <c r="V168">
        <f t="shared" si="27"/>
        <v>0.16613250208333333</v>
      </c>
      <c r="W168">
        <f t="shared" si="28"/>
        <v>-0.12479436634413119</v>
      </c>
      <c r="X168">
        <f t="shared" si="29"/>
        <v>-0.42038990535738469</v>
      </c>
      <c r="Y168">
        <f t="shared" si="30"/>
        <v>162.52087738049352</v>
      </c>
      <c r="Z168">
        <f t="shared" si="31"/>
        <v>7.2344362778400244</v>
      </c>
      <c r="AA168">
        <f t="shared" si="32"/>
        <v>7.2344362778400244</v>
      </c>
    </row>
    <row r="169" spans="1:27" x14ac:dyDescent="0.3">
      <c r="A169">
        <v>0.199999806666667</v>
      </c>
      <c r="B169">
        <v>0.32307659999999999</v>
      </c>
      <c r="C169">
        <v>0.48205120000000001</v>
      </c>
      <c r="D169">
        <v>0.46733333333333299</v>
      </c>
      <c r="E169">
        <v>-1.03666666666667</v>
      </c>
      <c r="F169">
        <v>18.4813333333333</v>
      </c>
      <c r="G169">
        <v>7.6498126666666702E-4</v>
      </c>
      <c r="H169">
        <v>2.2298192000000001E-3</v>
      </c>
      <c r="I169">
        <v>1.5950466666666699E-3</v>
      </c>
      <c r="J169">
        <v>167.4</v>
      </c>
      <c r="K169">
        <v>156.6</v>
      </c>
      <c r="L169">
        <v>156.6</v>
      </c>
      <c r="M169">
        <v>2736</v>
      </c>
      <c r="N169">
        <v>2579</v>
      </c>
      <c r="O169">
        <v>2440</v>
      </c>
      <c r="P169">
        <v>5</v>
      </c>
      <c r="Q169">
        <f t="shared" si="22"/>
        <v>50.851539708518274</v>
      </c>
      <c r="R169">
        <f t="shared" si="23"/>
        <v>-0.1116950825250731</v>
      </c>
      <c r="S169">
        <f t="shared" si="24"/>
        <v>16.704000000000001</v>
      </c>
      <c r="T169">
        <f t="shared" si="25"/>
        <v>1.5188617249710266E-3</v>
      </c>
      <c r="U169">
        <f t="shared" si="26"/>
        <v>-0.21101811634505235</v>
      </c>
      <c r="V169">
        <f t="shared" si="27"/>
        <v>0.16068373333333333</v>
      </c>
      <c r="W169">
        <f t="shared" si="28"/>
        <v>-4.8815521286747987E-2</v>
      </c>
      <c r="X169">
        <f t="shared" si="29"/>
        <v>0.52931513397850483</v>
      </c>
      <c r="Y169">
        <f t="shared" si="30"/>
        <v>103.95576237544893</v>
      </c>
      <c r="Z169">
        <f t="shared" si="31"/>
        <v>115.01682808797054</v>
      </c>
      <c r="AA169">
        <f t="shared" si="32"/>
        <v>115.01682808797054</v>
      </c>
    </row>
    <row r="170" spans="1:27" x14ac:dyDescent="0.3">
      <c r="A170">
        <v>0.48034186666666701</v>
      </c>
      <c r="B170">
        <v>0.35384593333333297</v>
      </c>
      <c r="C170">
        <v>0.217093806666667</v>
      </c>
      <c r="D170">
        <v>0.30666666666666698</v>
      </c>
      <c r="E170">
        <v>-1.0820000000000001</v>
      </c>
      <c r="F170">
        <v>17.7</v>
      </c>
      <c r="G170">
        <v>6.1360753999999997E-3</v>
      </c>
      <c r="H170">
        <v>7.9915532666666698E-3</v>
      </c>
      <c r="I170">
        <v>1.3557946E-2</v>
      </c>
      <c r="J170">
        <v>149.4</v>
      </c>
      <c r="K170">
        <v>162</v>
      </c>
      <c r="L170">
        <v>172.8</v>
      </c>
      <c r="M170">
        <v>2492</v>
      </c>
      <c r="N170">
        <v>2634</v>
      </c>
      <c r="O170">
        <v>2817</v>
      </c>
      <c r="P170">
        <v>5</v>
      </c>
      <c r="Q170">
        <f t="shared" si="22"/>
        <v>45.383632212978675</v>
      </c>
      <c r="R170">
        <f t="shared" si="23"/>
        <v>-0.1155466370949032</v>
      </c>
      <c r="S170">
        <f t="shared" si="24"/>
        <v>18.431999999999999</v>
      </c>
      <c r="T170">
        <f t="shared" si="25"/>
        <v>3.6478679071779876E-3</v>
      </c>
      <c r="U170">
        <f t="shared" si="26"/>
        <v>-0.23111516689341444</v>
      </c>
      <c r="V170">
        <f t="shared" si="27"/>
        <v>7.2364602222222338E-2</v>
      </c>
      <c r="W170">
        <f t="shared" si="28"/>
        <v>-0.15510269676401411</v>
      </c>
      <c r="X170">
        <f t="shared" si="29"/>
        <v>0.49995263680895047</v>
      </c>
      <c r="Y170">
        <f t="shared" si="30"/>
        <v>254.71016814820192</v>
      </c>
      <c r="Z170">
        <f t="shared" si="31"/>
        <v>244.59472527252464</v>
      </c>
      <c r="AA170">
        <f t="shared" si="32"/>
        <v>244.59472527252464</v>
      </c>
    </row>
    <row r="171" spans="1:27" x14ac:dyDescent="0.3">
      <c r="A171">
        <v>0.41367506666666698</v>
      </c>
      <c r="B171">
        <v>0.31452966666666698</v>
      </c>
      <c r="C171">
        <v>0.35897406666666698</v>
      </c>
      <c r="D171">
        <v>0.29466666666666702</v>
      </c>
      <c r="E171">
        <v>-0.67266666666666697</v>
      </c>
      <c r="F171">
        <v>16.813333333333301</v>
      </c>
      <c r="G171" s="1">
        <v>-4.8816799999999597E-5</v>
      </c>
      <c r="H171">
        <v>8.36589133333333E-3</v>
      </c>
      <c r="I171">
        <v>1.74153066666667E-3</v>
      </c>
      <c r="J171">
        <v>151.19999999999999</v>
      </c>
      <c r="K171">
        <v>163.80000000000001</v>
      </c>
      <c r="L171">
        <v>151.19999999999999</v>
      </c>
      <c r="M171">
        <v>2677</v>
      </c>
      <c r="N171">
        <v>2827</v>
      </c>
      <c r="O171">
        <v>2771</v>
      </c>
      <c r="P171">
        <v>5</v>
      </c>
      <c r="Q171">
        <f t="shared" si="22"/>
        <v>45.930422962532624</v>
      </c>
      <c r="R171">
        <f t="shared" si="23"/>
        <v>-0.11683048861817992</v>
      </c>
      <c r="S171">
        <f t="shared" si="24"/>
        <v>16.128</v>
      </c>
      <c r="T171">
        <f t="shared" si="25"/>
        <v>3.1415791635340442E-3</v>
      </c>
      <c r="U171">
        <f t="shared" si="26"/>
        <v>-0.20543567003811872</v>
      </c>
      <c r="V171">
        <f t="shared" si="27"/>
        <v>0.11965802222222233</v>
      </c>
      <c r="W171">
        <f t="shared" si="28"/>
        <v>-8.2636068652362338E-2</v>
      </c>
      <c r="X171">
        <f t="shared" si="29"/>
        <v>0.56869621812269477</v>
      </c>
      <c r="Y171">
        <f t="shared" si="30"/>
        <v>134.78410975277498</v>
      </c>
      <c r="Z171">
        <f t="shared" si="31"/>
        <v>140.51154298797033</v>
      </c>
      <c r="AA171">
        <f t="shared" si="32"/>
        <v>140.51154298797033</v>
      </c>
    </row>
    <row r="172" spans="1:27" x14ac:dyDescent="0.3">
      <c r="A172">
        <v>0.2786322</v>
      </c>
      <c r="B172">
        <v>0.49743579999999998</v>
      </c>
      <c r="C172">
        <v>0.30085440666666702</v>
      </c>
      <c r="D172">
        <v>0.23799999999999999</v>
      </c>
      <c r="E172">
        <v>-2.5846666666666702</v>
      </c>
      <c r="F172">
        <v>40.122666666666703</v>
      </c>
      <c r="G172">
        <v>-1.0791017999999999E-2</v>
      </c>
      <c r="H172">
        <v>7.9264226666666705E-3</v>
      </c>
      <c r="I172">
        <v>-2.6041726666666699E-3</v>
      </c>
      <c r="J172">
        <v>349.2</v>
      </c>
      <c r="K172">
        <v>338.4</v>
      </c>
      <c r="L172">
        <v>347.4</v>
      </c>
      <c r="M172">
        <v>5674</v>
      </c>
      <c r="N172">
        <v>5450</v>
      </c>
      <c r="O172">
        <v>5626</v>
      </c>
      <c r="P172">
        <v>5</v>
      </c>
      <c r="Q172">
        <f t="shared" si="22"/>
        <v>106.07740541346821</v>
      </c>
      <c r="R172">
        <f t="shared" si="23"/>
        <v>-0.24136408637602</v>
      </c>
      <c r="S172">
        <f t="shared" si="24"/>
        <v>37.055999999999997</v>
      </c>
      <c r="T172">
        <f t="shared" si="25"/>
        <v>2.1160209651092899E-3</v>
      </c>
      <c r="U172">
        <f t="shared" si="26"/>
        <v>-0.32490117055396212</v>
      </c>
      <c r="V172">
        <f t="shared" si="27"/>
        <v>0.10028480222222234</v>
      </c>
      <c r="W172">
        <f t="shared" si="28"/>
        <v>-0.22250034736663049</v>
      </c>
      <c r="X172">
        <f t="shared" si="29"/>
        <v>0.74288463154654094</v>
      </c>
      <c r="Y172">
        <f t="shared" si="30"/>
        <v>369.50763404695306</v>
      </c>
      <c r="Z172">
        <f t="shared" si="31"/>
        <v>400.08720940345864</v>
      </c>
      <c r="AA172">
        <f t="shared" si="32"/>
        <v>400.08720940345864</v>
      </c>
    </row>
    <row r="173" spans="1:27" x14ac:dyDescent="0.3">
      <c r="A173">
        <v>0.28888873333333298</v>
      </c>
      <c r="B173">
        <v>0.44957253333333302</v>
      </c>
      <c r="C173">
        <v>0.27008527333333299</v>
      </c>
      <c r="D173">
        <v>0.15333333333333299</v>
      </c>
      <c r="E173">
        <v>-2.28866666666667</v>
      </c>
      <c r="F173">
        <v>40.14</v>
      </c>
      <c r="G173">
        <v>-1.9905607333333301E-2</v>
      </c>
      <c r="H173">
        <v>3.9387966666666703E-3</v>
      </c>
      <c r="I173">
        <v>-5.8594126666666703E-4</v>
      </c>
      <c r="J173">
        <v>349.2</v>
      </c>
      <c r="K173">
        <v>340.2</v>
      </c>
      <c r="L173">
        <v>358.2</v>
      </c>
      <c r="M173">
        <v>5847</v>
      </c>
      <c r="N173">
        <v>5663</v>
      </c>
      <c r="O173">
        <v>5901</v>
      </c>
      <c r="P173">
        <v>5</v>
      </c>
      <c r="Q173">
        <f t="shared" si="22"/>
        <v>106.07740541346821</v>
      </c>
      <c r="R173">
        <f t="shared" si="23"/>
        <v>-0.24264793789929673</v>
      </c>
      <c r="S173">
        <f t="shared" si="24"/>
        <v>38.207999999999998</v>
      </c>
      <c r="T173">
        <f t="shared" si="25"/>
        <v>2.1939123199587107E-3</v>
      </c>
      <c r="U173">
        <f t="shared" si="26"/>
        <v>-0.29363918384826754</v>
      </c>
      <c r="V173">
        <f t="shared" si="27"/>
        <v>9.0028424444444324E-2</v>
      </c>
      <c r="W173">
        <f t="shared" si="28"/>
        <v>-0.20141684708386454</v>
      </c>
      <c r="X173">
        <f t="shared" si="29"/>
        <v>0.82634726986804474</v>
      </c>
      <c r="Y173">
        <f t="shared" si="30"/>
        <v>424.39929650860199</v>
      </c>
      <c r="Z173">
        <f t="shared" si="31"/>
        <v>445.85918555944528</v>
      </c>
      <c r="AA173">
        <f t="shared" si="32"/>
        <v>445.85918555944528</v>
      </c>
    </row>
    <row r="174" spans="1:27" x14ac:dyDescent="0.3">
      <c r="A174">
        <v>0.31452967333333298</v>
      </c>
      <c r="B174">
        <v>0.33162366666666698</v>
      </c>
      <c r="C174">
        <v>0.34188020000000002</v>
      </c>
      <c r="D174">
        <v>9.6000000000000002E-2</v>
      </c>
      <c r="E174">
        <v>-2.1546666666666701</v>
      </c>
      <c r="F174">
        <v>37.425333333333299</v>
      </c>
      <c r="G174">
        <v>-1.54785193333333E-2</v>
      </c>
      <c r="H174">
        <v>9.9284333333333509E-4</v>
      </c>
      <c r="I174">
        <v>-9.0169173333333307E-3</v>
      </c>
      <c r="J174">
        <v>347.4</v>
      </c>
      <c r="K174">
        <v>343.8</v>
      </c>
      <c r="L174">
        <v>360</v>
      </c>
      <c r="M174">
        <v>6025</v>
      </c>
      <c r="N174">
        <v>6018</v>
      </c>
      <c r="O174">
        <v>6005</v>
      </c>
      <c r="P174">
        <v>5</v>
      </c>
      <c r="Q174">
        <f t="shared" si="22"/>
        <v>105.53061466391425</v>
      </c>
      <c r="R174">
        <f t="shared" si="23"/>
        <v>-0.24521564094585013</v>
      </c>
      <c r="S174">
        <f t="shared" si="24"/>
        <v>38.4</v>
      </c>
      <c r="T174">
        <f t="shared" si="25"/>
        <v>2.3886377199846568E-3</v>
      </c>
      <c r="U174">
        <f t="shared" si="26"/>
        <v>-0.21660064973891516</v>
      </c>
      <c r="V174">
        <f t="shared" si="27"/>
        <v>0.11396006666666668</v>
      </c>
      <c r="W174">
        <f t="shared" si="28"/>
        <v>-0.10025194535226382</v>
      </c>
      <c r="X174">
        <f t="shared" si="29"/>
        <v>1.1321094430761254</v>
      </c>
      <c r="Y174">
        <f t="shared" si="30"/>
        <v>336.96013983845796</v>
      </c>
      <c r="Z174">
        <f t="shared" si="31"/>
        <v>328.40743628908569</v>
      </c>
      <c r="AA174">
        <f t="shared" si="32"/>
        <v>328.40743628908569</v>
      </c>
    </row>
    <row r="175" spans="1:27" x14ac:dyDescent="0.3">
      <c r="A175">
        <v>0.28717934000000001</v>
      </c>
      <c r="B175">
        <v>0.3777778</v>
      </c>
      <c r="C175">
        <v>0.39145280666666699</v>
      </c>
      <c r="D175">
        <v>-1.82066666666667</v>
      </c>
      <c r="E175">
        <v>-5.03</v>
      </c>
      <c r="F175">
        <v>82.963333333333296</v>
      </c>
      <c r="G175">
        <v>2.7490201999999998E-2</v>
      </c>
      <c r="H175">
        <v>4.6402978666666699E-2</v>
      </c>
      <c r="I175">
        <v>-1.28743173333333E-2</v>
      </c>
      <c r="J175">
        <v>750.6</v>
      </c>
      <c r="K175">
        <v>739.8</v>
      </c>
      <c r="L175">
        <v>738</v>
      </c>
      <c r="M175">
        <v>12100</v>
      </c>
      <c r="N175">
        <v>12073</v>
      </c>
      <c r="O175">
        <v>12049</v>
      </c>
      <c r="P175">
        <v>5</v>
      </c>
      <c r="Q175">
        <f t="shared" si="22"/>
        <v>228.01174256400128</v>
      </c>
      <c r="R175">
        <f t="shared" si="23"/>
        <v>-0.52766297606672463</v>
      </c>
      <c r="S175">
        <f t="shared" si="24"/>
        <v>78.72</v>
      </c>
      <c r="T175">
        <f t="shared" si="25"/>
        <v>2.1809306468751595E-3</v>
      </c>
      <c r="U175">
        <f t="shared" si="26"/>
        <v>-0.24674631264838714</v>
      </c>
      <c r="V175">
        <f t="shared" si="27"/>
        <v>0.130484268888889</v>
      </c>
      <c r="W175">
        <f t="shared" si="28"/>
        <v>-0.11408111311262298</v>
      </c>
      <c r="X175">
        <f t="shared" si="29"/>
        <v>2.1384837341769845</v>
      </c>
      <c r="Y175">
        <f t="shared" si="30"/>
        <v>603.29111447934213</v>
      </c>
      <c r="Z175">
        <f t="shared" si="31"/>
        <v>635.81099882606452</v>
      </c>
      <c r="AA175">
        <f t="shared" si="32"/>
        <v>635.81099882606452</v>
      </c>
    </row>
    <row r="176" spans="1:27" x14ac:dyDescent="0.3">
      <c r="A176">
        <v>0.37094000666666699</v>
      </c>
      <c r="B176">
        <v>0.42735026666666698</v>
      </c>
      <c r="C176">
        <v>0.33675206666666702</v>
      </c>
      <c r="D176">
        <v>-0.624</v>
      </c>
      <c r="E176">
        <v>-4.5739999999999998</v>
      </c>
      <c r="F176">
        <v>83.285333333333298</v>
      </c>
      <c r="G176">
        <v>1.41601893333333E-2</v>
      </c>
      <c r="H176">
        <v>-4.3896484666666701E-2</v>
      </c>
      <c r="I176">
        <v>3.90623333333333E-3</v>
      </c>
      <c r="J176">
        <v>734.4</v>
      </c>
      <c r="K176">
        <v>745.2</v>
      </c>
      <c r="L176">
        <v>747</v>
      </c>
      <c r="M176">
        <v>12493</v>
      </c>
      <c r="N176">
        <v>12493</v>
      </c>
      <c r="O176">
        <v>12564</v>
      </c>
      <c r="P176">
        <v>5</v>
      </c>
      <c r="Q176">
        <f t="shared" si="22"/>
        <v>223.09062581801561</v>
      </c>
      <c r="R176">
        <f t="shared" si="23"/>
        <v>-0.53151453063655474</v>
      </c>
      <c r="S176">
        <f t="shared" si="24"/>
        <v>79.680000000000007</v>
      </c>
      <c r="T176">
        <f t="shared" si="25"/>
        <v>2.8170356150669131E-3</v>
      </c>
      <c r="U176">
        <f t="shared" si="26"/>
        <v>-0.27912466669376823</v>
      </c>
      <c r="V176">
        <f t="shared" si="27"/>
        <v>0.11225068888888901</v>
      </c>
      <c r="W176">
        <f t="shared" si="28"/>
        <v>-0.16405694218981232</v>
      </c>
      <c r="X176">
        <f t="shared" si="29"/>
        <v>1.9042191323767423</v>
      </c>
      <c r="Y176">
        <f t="shared" si="30"/>
        <v>709.839741641773</v>
      </c>
      <c r="Z176">
        <f t="shared" si="31"/>
        <v>741.95832700655433</v>
      </c>
      <c r="AA176">
        <f t="shared" si="32"/>
        <v>741.95832700655433</v>
      </c>
    </row>
    <row r="177" spans="1:27" x14ac:dyDescent="0.3">
      <c r="A177">
        <v>0.38461519999999999</v>
      </c>
      <c r="B177">
        <v>0.47350420666666698</v>
      </c>
      <c r="C177">
        <v>0.33333321333333299</v>
      </c>
      <c r="D177">
        <v>3.06666666666667E-2</v>
      </c>
      <c r="E177">
        <v>-4.64333333333333</v>
      </c>
      <c r="F177">
        <v>76.17</v>
      </c>
      <c r="G177">
        <v>3.7239597999999999E-2</v>
      </c>
      <c r="H177">
        <v>-6.0221360000000002E-2</v>
      </c>
      <c r="I177">
        <v>6.33951866666667E-2</v>
      </c>
      <c r="J177">
        <v>680.4</v>
      </c>
      <c r="K177">
        <v>685.8</v>
      </c>
      <c r="L177">
        <v>689.4</v>
      </c>
      <c r="M177">
        <v>11285</v>
      </c>
      <c r="N177">
        <v>11278</v>
      </c>
      <c r="O177">
        <v>11327</v>
      </c>
      <c r="P177">
        <v>5</v>
      </c>
      <c r="Q177">
        <f t="shared" si="22"/>
        <v>206.68690333139682</v>
      </c>
      <c r="R177">
        <f t="shared" si="23"/>
        <v>-0.48914743036842351</v>
      </c>
      <c r="S177">
        <f t="shared" si="24"/>
        <v>73.536000000000001</v>
      </c>
      <c r="T177">
        <f t="shared" si="25"/>
        <v>2.9208893541367528E-3</v>
      </c>
      <c r="U177">
        <f t="shared" si="26"/>
        <v>-0.30927020332719374</v>
      </c>
      <c r="V177">
        <f t="shared" si="27"/>
        <v>0.111111071111111</v>
      </c>
      <c r="W177">
        <f t="shared" si="28"/>
        <v>-0.19523824286194597</v>
      </c>
      <c r="X177">
        <f t="shared" si="29"/>
        <v>1.581618355425362</v>
      </c>
      <c r="Y177">
        <f t="shared" si="30"/>
        <v>661.8242382567264</v>
      </c>
      <c r="Z177">
        <f t="shared" si="31"/>
        <v>685.53024679088958</v>
      </c>
      <c r="AA177">
        <f t="shared" si="32"/>
        <v>685.53024679088958</v>
      </c>
    </row>
  </sheetData>
  <pageMargins left="0.70000004768371604" right="0.70000004768371604" top="0.75" bottom="0.75" header="0.30000001192092901" footer="0.3000000119209290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Степанов</cp:lastModifiedBy>
  <dcterms:modified xsi:type="dcterms:W3CDTF">2026-05-27T13:35:09Z</dcterms:modified>
</cp:coreProperties>
</file>