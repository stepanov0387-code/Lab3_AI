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stepa\OneDrive\Desktop\Lab3_AI\"/>
    </mc:Choice>
  </mc:AlternateContent>
  <xr:revisionPtr revIDLastSave="0" documentId="13_ncr:1_{4B713485-655A-4E1E-B07A-7DA30AD00159}" xr6:coauthVersionLast="36" xr6:coauthVersionMax="36" xr10:uidLastSave="{00000000-0000-0000-0000-000000000000}"/>
  <bookViews>
    <workbookView xWindow="0" yWindow="0" windowWidth="21504" windowHeight="12108" xr2:uid="{00000000-000D-0000-FFFF-FFFF00000000}"/>
  </bookViews>
  <sheets>
    <sheet name="Лист 1" sheetId="1" r:id="rId1"/>
  </sheets>
  <calcPr calcId="191029"/>
</workbook>
</file>

<file path=xl/calcChain.xml><?xml version="1.0" encoding="utf-8"?>
<calcChain xmlns="http://schemas.openxmlformats.org/spreadsheetml/2006/main">
  <c r="Q3" i="1" l="1"/>
  <c r="R3" i="1"/>
  <c r="S3" i="1"/>
  <c r="T3" i="1"/>
  <c r="U3" i="1"/>
  <c r="V3" i="1"/>
  <c r="W3" i="1"/>
  <c r="X3" i="1"/>
  <c r="Y3" i="1"/>
  <c r="Z3" i="1"/>
  <c r="AA3" i="1"/>
  <c r="Q4" i="1"/>
  <c r="R4" i="1"/>
  <c r="S4" i="1"/>
  <c r="T4" i="1"/>
  <c r="U4" i="1"/>
  <c r="V4" i="1"/>
  <c r="AA4" i="1" s="1"/>
  <c r="W4" i="1"/>
  <c r="Q5" i="1"/>
  <c r="R5" i="1"/>
  <c r="S5" i="1"/>
  <c r="T5" i="1"/>
  <c r="U5" i="1"/>
  <c r="V5" i="1"/>
  <c r="W5" i="1"/>
  <c r="X5" i="1"/>
  <c r="Y5" i="1"/>
  <c r="Z5" i="1"/>
  <c r="AA5" i="1"/>
  <c r="Q6" i="1"/>
  <c r="X6" i="1" s="1"/>
  <c r="R6" i="1"/>
  <c r="Y6" i="1" s="1"/>
  <c r="S6" i="1"/>
  <c r="Z6" i="1" s="1"/>
  <c r="T6" i="1"/>
  <c r="U6" i="1"/>
  <c r="V6" i="1"/>
  <c r="W6" i="1"/>
  <c r="AA6" i="1"/>
  <c r="Q7" i="1"/>
  <c r="X7" i="1" s="1"/>
  <c r="R7" i="1"/>
  <c r="Y7" i="1" s="1"/>
  <c r="S7" i="1"/>
  <c r="T7" i="1"/>
  <c r="U7" i="1"/>
  <c r="V7" i="1"/>
  <c r="AA7" i="1" s="1"/>
  <c r="W7" i="1"/>
  <c r="Z7" i="1"/>
  <c r="Q8" i="1"/>
  <c r="R8" i="1"/>
  <c r="S8" i="1"/>
  <c r="T8" i="1"/>
  <c r="U8" i="1"/>
  <c r="V8" i="1"/>
  <c r="W8" i="1"/>
  <c r="X8" i="1"/>
  <c r="Y8" i="1"/>
  <c r="Z8" i="1"/>
  <c r="AA8" i="1"/>
  <c r="Q9" i="1"/>
  <c r="R9" i="1"/>
  <c r="S9" i="1"/>
  <c r="T9" i="1"/>
  <c r="U9" i="1"/>
  <c r="V9" i="1"/>
  <c r="AA9" i="1" s="1"/>
  <c r="Q10" i="1"/>
  <c r="R10" i="1"/>
  <c r="S10" i="1"/>
  <c r="T10" i="1"/>
  <c r="U10" i="1"/>
  <c r="V10" i="1"/>
  <c r="W10" i="1"/>
  <c r="X10" i="1"/>
  <c r="Y10" i="1"/>
  <c r="Z10" i="1"/>
  <c r="AA10" i="1"/>
  <c r="Q11" i="1"/>
  <c r="X11" i="1" s="1"/>
  <c r="R11" i="1"/>
  <c r="Y11" i="1" s="1"/>
  <c r="S11" i="1"/>
  <c r="T11" i="1"/>
  <c r="U11" i="1"/>
  <c r="V11" i="1"/>
  <c r="W11" i="1"/>
  <c r="Z11" i="1"/>
  <c r="AA11" i="1"/>
  <c r="Q12" i="1"/>
  <c r="R12" i="1"/>
  <c r="S12" i="1"/>
  <c r="T12" i="1"/>
  <c r="U12" i="1"/>
  <c r="V12" i="1"/>
  <c r="AA12" i="1" s="1"/>
  <c r="W12" i="1"/>
  <c r="X12" i="1"/>
  <c r="Y12" i="1"/>
  <c r="Q13" i="1"/>
  <c r="R13" i="1"/>
  <c r="S13" i="1"/>
  <c r="T13" i="1"/>
  <c r="U13" i="1"/>
  <c r="V13" i="1"/>
  <c r="W13" i="1"/>
  <c r="X13" i="1"/>
  <c r="Y13" i="1"/>
  <c r="Z13" i="1"/>
  <c r="AA13" i="1"/>
  <c r="Q14" i="1"/>
  <c r="R14" i="1"/>
  <c r="S14" i="1"/>
  <c r="Z14" i="1" s="1"/>
  <c r="T14" i="1"/>
  <c r="U14" i="1"/>
  <c r="V14" i="1"/>
  <c r="AA14" i="1"/>
  <c r="Q15" i="1"/>
  <c r="R15" i="1"/>
  <c r="S15" i="1"/>
  <c r="T15" i="1"/>
  <c r="U15" i="1"/>
  <c r="V15" i="1"/>
  <c r="W15" i="1"/>
  <c r="X15" i="1"/>
  <c r="Y15" i="1"/>
  <c r="Z15" i="1"/>
  <c r="AA15" i="1"/>
  <c r="Q16" i="1"/>
  <c r="X16" i="1" s="1"/>
  <c r="R16" i="1"/>
  <c r="S16" i="1"/>
  <c r="T16" i="1"/>
  <c r="U16" i="1"/>
  <c r="V16" i="1"/>
  <c r="W16" i="1"/>
  <c r="Y16" i="1"/>
  <c r="Z16" i="1"/>
  <c r="AA16" i="1"/>
  <c r="Q17" i="1"/>
  <c r="R17" i="1"/>
  <c r="S17" i="1"/>
  <c r="T17" i="1"/>
  <c r="U17" i="1"/>
  <c r="V17" i="1"/>
  <c r="AA17" i="1" s="1"/>
  <c r="W17" i="1"/>
  <c r="X17" i="1"/>
  <c r="Q18" i="1"/>
  <c r="R18" i="1"/>
  <c r="S18" i="1"/>
  <c r="T18" i="1"/>
  <c r="X18" i="1" s="1"/>
  <c r="U18" i="1"/>
  <c r="Y18" i="1" s="1"/>
  <c r="V18" i="1"/>
  <c r="Z18" i="1" s="1"/>
  <c r="W18" i="1"/>
  <c r="Q19" i="1"/>
  <c r="R19" i="1"/>
  <c r="Y19" i="1" s="1"/>
  <c r="S19" i="1"/>
  <c r="Z19" i="1" s="1"/>
  <c r="T19" i="1"/>
  <c r="W19" i="1" s="1"/>
  <c r="U19" i="1"/>
  <c r="V19" i="1"/>
  <c r="AA19" i="1"/>
  <c r="Q20" i="1"/>
  <c r="X20" i="1" s="1"/>
  <c r="R20" i="1"/>
  <c r="Y20" i="1" s="1"/>
  <c r="S20" i="1"/>
  <c r="Z20" i="1" s="1"/>
  <c r="T20" i="1"/>
  <c r="U20" i="1"/>
  <c r="V20" i="1"/>
  <c r="AA20" i="1" s="1"/>
  <c r="W20" i="1"/>
  <c r="Q21" i="1"/>
  <c r="R21" i="1"/>
  <c r="S21" i="1"/>
  <c r="T21" i="1"/>
  <c r="U21" i="1"/>
  <c r="V21" i="1"/>
  <c r="W21" i="1"/>
  <c r="X21" i="1"/>
  <c r="Y21" i="1"/>
  <c r="Z21" i="1"/>
  <c r="AA21" i="1"/>
  <c r="Q22" i="1"/>
  <c r="X22" i="1" s="1"/>
  <c r="R22" i="1"/>
  <c r="Y22" i="1" s="1"/>
  <c r="S22" i="1"/>
  <c r="Z22" i="1" s="1"/>
  <c r="T22" i="1"/>
  <c r="U22" i="1"/>
  <c r="V22" i="1"/>
  <c r="AA22" i="1" s="1"/>
  <c r="W22" i="1"/>
  <c r="Q23" i="1"/>
  <c r="R23" i="1"/>
  <c r="S23" i="1"/>
  <c r="T23" i="1"/>
  <c r="U23" i="1"/>
  <c r="V23" i="1"/>
  <c r="W23" i="1"/>
  <c r="X23" i="1"/>
  <c r="Y23" i="1"/>
  <c r="Z23" i="1"/>
  <c r="AA23" i="1"/>
  <c r="Q24" i="1"/>
  <c r="X24" i="1" s="1"/>
  <c r="R24" i="1"/>
  <c r="Y24" i="1" s="1"/>
  <c r="S24" i="1"/>
  <c r="Z24" i="1" s="1"/>
  <c r="T24" i="1"/>
  <c r="U24" i="1"/>
  <c r="V24" i="1"/>
  <c r="W24" i="1"/>
  <c r="AA24" i="1"/>
  <c r="Q25" i="1"/>
  <c r="R25" i="1"/>
  <c r="S25" i="1"/>
  <c r="T25" i="1"/>
  <c r="U25" i="1"/>
  <c r="V25" i="1"/>
  <c r="AA25" i="1" s="1"/>
  <c r="W25" i="1"/>
  <c r="X25" i="1"/>
  <c r="Y25" i="1"/>
  <c r="Z25" i="1"/>
  <c r="Q26" i="1"/>
  <c r="R26" i="1"/>
  <c r="S26" i="1"/>
  <c r="T26" i="1"/>
  <c r="U26" i="1"/>
  <c r="V26" i="1"/>
  <c r="W26" i="1"/>
  <c r="X26" i="1"/>
  <c r="Y26" i="1"/>
  <c r="Z26" i="1"/>
  <c r="AA26" i="1"/>
  <c r="Q27" i="1"/>
  <c r="R27" i="1"/>
  <c r="S27" i="1"/>
  <c r="T27" i="1"/>
  <c r="U27" i="1"/>
  <c r="V27" i="1"/>
  <c r="AA27" i="1" s="1"/>
  <c r="Q28" i="1"/>
  <c r="R28" i="1"/>
  <c r="Y28" i="1" s="1"/>
  <c r="S28" i="1"/>
  <c r="Z28" i="1" s="1"/>
  <c r="T28" i="1"/>
  <c r="U28" i="1"/>
  <c r="V28" i="1"/>
  <c r="W28" i="1"/>
  <c r="X28" i="1"/>
  <c r="AA28" i="1"/>
  <c r="Q29" i="1"/>
  <c r="X29" i="1" s="1"/>
  <c r="R29" i="1"/>
  <c r="S29" i="1"/>
  <c r="T29" i="1"/>
  <c r="U29" i="1"/>
  <c r="V29" i="1"/>
  <c r="W29" i="1"/>
  <c r="Y29" i="1"/>
  <c r="Z29" i="1"/>
  <c r="AA29" i="1"/>
  <c r="Q30" i="1"/>
  <c r="R30" i="1"/>
  <c r="S30" i="1"/>
  <c r="T30" i="1"/>
  <c r="U30" i="1"/>
  <c r="V30" i="1"/>
  <c r="AA30" i="1" s="1"/>
  <c r="W30" i="1"/>
  <c r="X30" i="1"/>
  <c r="Y30" i="1"/>
  <c r="Q31" i="1"/>
  <c r="R31" i="1"/>
  <c r="S31" i="1"/>
  <c r="T31" i="1"/>
  <c r="U31" i="1"/>
  <c r="V31" i="1"/>
  <c r="Z31" i="1" s="1"/>
  <c r="W31" i="1"/>
  <c r="X31" i="1"/>
  <c r="Y31" i="1"/>
  <c r="Q32" i="1"/>
  <c r="R32" i="1"/>
  <c r="S32" i="1"/>
  <c r="Z32" i="1" s="1"/>
  <c r="T32" i="1"/>
  <c r="U32" i="1"/>
  <c r="V32" i="1"/>
  <c r="AA32" i="1"/>
  <c r="Q33" i="1"/>
  <c r="R33" i="1"/>
  <c r="S33" i="1"/>
  <c r="Z33" i="1" s="1"/>
  <c r="T33" i="1"/>
  <c r="U33" i="1"/>
  <c r="V33" i="1"/>
  <c r="AA33" i="1" s="1"/>
  <c r="W33" i="1"/>
  <c r="X33" i="1"/>
  <c r="Y33" i="1"/>
  <c r="Q34" i="1"/>
  <c r="R34" i="1"/>
  <c r="S34" i="1"/>
  <c r="T34" i="1"/>
  <c r="U34" i="1"/>
  <c r="V34" i="1"/>
  <c r="W34" i="1"/>
  <c r="X34" i="1"/>
  <c r="Y34" i="1"/>
  <c r="Z34" i="1"/>
  <c r="AA34" i="1"/>
  <c r="Q35" i="1"/>
  <c r="X35" i="1" s="1"/>
  <c r="R35" i="1"/>
  <c r="S35" i="1"/>
  <c r="Z35" i="1" s="1"/>
  <c r="T35" i="1"/>
  <c r="W35" i="1" s="1"/>
  <c r="U35" i="1"/>
  <c r="V35" i="1"/>
  <c r="AA35" i="1" s="1"/>
  <c r="Q36" i="1"/>
  <c r="R36" i="1"/>
  <c r="S36" i="1"/>
  <c r="T36" i="1"/>
  <c r="U36" i="1"/>
  <c r="V36" i="1"/>
  <c r="W36" i="1"/>
  <c r="X36" i="1"/>
  <c r="Y36" i="1"/>
  <c r="Z36" i="1"/>
  <c r="AA36" i="1"/>
  <c r="Q37" i="1"/>
  <c r="R37" i="1"/>
  <c r="Y37" i="1" s="1"/>
  <c r="S37" i="1"/>
  <c r="Z37" i="1" s="1"/>
  <c r="T37" i="1"/>
  <c r="W37" i="1" s="1"/>
  <c r="U37" i="1"/>
  <c r="V37" i="1"/>
  <c r="AA37" i="1"/>
  <c r="Q38" i="1"/>
  <c r="R38" i="1"/>
  <c r="S38" i="1"/>
  <c r="T38" i="1"/>
  <c r="U38" i="1"/>
  <c r="V38" i="1"/>
  <c r="W38" i="1"/>
  <c r="X38" i="1"/>
  <c r="Y38" i="1"/>
  <c r="Z38" i="1"/>
  <c r="AA38" i="1"/>
  <c r="Q39" i="1"/>
  <c r="R39" i="1"/>
  <c r="S39" i="1"/>
  <c r="T39" i="1"/>
  <c r="U39" i="1"/>
  <c r="V39" i="1"/>
  <c r="W39" i="1"/>
  <c r="X39" i="1"/>
  <c r="Y39" i="1"/>
  <c r="Z39" i="1"/>
  <c r="AA39" i="1"/>
  <c r="Q40" i="1"/>
  <c r="R40" i="1"/>
  <c r="S40" i="1"/>
  <c r="T40" i="1"/>
  <c r="U40" i="1"/>
  <c r="V40" i="1"/>
  <c r="AA40" i="1" s="1"/>
  <c r="W40" i="1"/>
  <c r="Q41" i="1"/>
  <c r="R41" i="1"/>
  <c r="S41" i="1"/>
  <c r="Z41" i="1" s="1"/>
  <c r="T41" i="1"/>
  <c r="W41" i="1" s="1"/>
  <c r="U41" i="1"/>
  <c r="V41" i="1"/>
  <c r="Y41" i="1"/>
  <c r="AA41" i="1"/>
  <c r="Q42" i="1"/>
  <c r="X42" i="1" s="1"/>
  <c r="R42" i="1"/>
  <c r="Y42" i="1" s="1"/>
  <c r="S42" i="1"/>
  <c r="T42" i="1"/>
  <c r="U42" i="1"/>
  <c r="V42" i="1"/>
  <c r="W42" i="1"/>
  <c r="Z42" i="1"/>
  <c r="AA42" i="1"/>
  <c r="Q43" i="1"/>
  <c r="X43" i="1" s="1"/>
  <c r="R43" i="1"/>
  <c r="Y43" i="1" s="1"/>
  <c r="S43" i="1"/>
  <c r="T43" i="1"/>
  <c r="U43" i="1"/>
  <c r="V43" i="1"/>
  <c r="AA43" i="1" s="1"/>
  <c r="W43" i="1"/>
  <c r="Z43" i="1"/>
  <c r="Q44" i="1"/>
  <c r="R44" i="1"/>
  <c r="S44" i="1"/>
  <c r="T44" i="1"/>
  <c r="U44" i="1"/>
  <c r="V44" i="1"/>
  <c r="AA44" i="1" s="1"/>
  <c r="W44" i="1"/>
  <c r="X44" i="1"/>
  <c r="Y44" i="1"/>
  <c r="Z44" i="1"/>
  <c r="Q45" i="1"/>
  <c r="R45" i="1"/>
  <c r="S45" i="1"/>
  <c r="T45" i="1"/>
  <c r="U45" i="1"/>
  <c r="V45" i="1"/>
  <c r="AA45" i="1" s="1"/>
  <c r="Q46" i="1"/>
  <c r="R46" i="1"/>
  <c r="S46" i="1"/>
  <c r="T46" i="1"/>
  <c r="U46" i="1"/>
  <c r="V46" i="1"/>
  <c r="W46" i="1"/>
  <c r="X46" i="1"/>
  <c r="Y46" i="1"/>
  <c r="Z46" i="1"/>
  <c r="AA46" i="1"/>
  <c r="Q47" i="1"/>
  <c r="X47" i="1" s="1"/>
  <c r="R47" i="1"/>
  <c r="S47" i="1"/>
  <c r="T47" i="1"/>
  <c r="U47" i="1"/>
  <c r="V47" i="1"/>
  <c r="W47" i="1"/>
  <c r="Y47" i="1"/>
  <c r="Z47" i="1"/>
  <c r="AA47" i="1"/>
  <c r="Q48" i="1"/>
  <c r="R48" i="1"/>
  <c r="Y48" i="1" s="1"/>
  <c r="S48" i="1"/>
  <c r="T48" i="1"/>
  <c r="U48" i="1"/>
  <c r="V48" i="1"/>
  <c r="AA48" i="1" s="1"/>
  <c r="W48" i="1"/>
  <c r="X48" i="1"/>
  <c r="Q49" i="1"/>
  <c r="R49" i="1"/>
  <c r="S49" i="1"/>
  <c r="T49" i="1"/>
  <c r="U49" i="1"/>
  <c r="V49" i="1"/>
  <c r="W49" i="1"/>
  <c r="X49" i="1"/>
  <c r="Y49" i="1"/>
  <c r="Z49" i="1"/>
  <c r="AA49" i="1"/>
  <c r="Q50" i="1"/>
  <c r="R50" i="1"/>
  <c r="S50" i="1"/>
  <c r="Z50" i="1" s="1"/>
  <c r="T50" i="1"/>
  <c r="U50" i="1"/>
  <c r="V50" i="1"/>
  <c r="AA50" i="1"/>
  <c r="Q51" i="1"/>
  <c r="R51" i="1"/>
  <c r="S51" i="1"/>
  <c r="T51" i="1"/>
  <c r="U51" i="1"/>
  <c r="V51" i="1"/>
  <c r="W51" i="1"/>
  <c r="X51" i="1"/>
  <c r="Y51" i="1"/>
  <c r="Z51" i="1"/>
  <c r="AA51" i="1"/>
  <c r="Q52" i="1"/>
  <c r="X52" i="1" s="1"/>
  <c r="R52" i="1"/>
  <c r="S52" i="1"/>
  <c r="T52" i="1"/>
  <c r="U52" i="1"/>
  <c r="V52" i="1"/>
  <c r="W52" i="1"/>
  <c r="Y52" i="1"/>
  <c r="Z52" i="1"/>
  <c r="AA52" i="1"/>
  <c r="Q53" i="1"/>
  <c r="R53" i="1"/>
  <c r="S53" i="1"/>
  <c r="T53" i="1"/>
  <c r="U53" i="1"/>
  <c r="V53" i="1"/>
  <c r="AA53" i="1" s="1"/>
  <c r="W53" i="1"/>
  <c r="X53" i="1"/>
  <c r="Q54" i="1"/>
  <c r="R54" i="1"/>
  <c r="S54" i="1"/>
  <c r="T54" i="1"/>
  <c r="W54" i="1" s="1"/>
  <c r="U54" i="1"/>
  <c r="Y54" i="1" s="1"/>
  <c r="V54" i="1"/>
  <c r="Z54" i="1"/>
  <c r="AA54" i="1"/>
  <c r="Q55" i="1"/>
  <c r="R55" i="1"/>
  <c r="Y55" i="1" s="1"/>
  <c r="S55" i="1"/>
  <c r="Z55" i="1" s="1"/>
  <c r="T55" i="1"/>
  <c r="W55" i="1" s="1"/>
  <c r="U55" i="1"/>
  <c r="V55" i="1"/>
  <c r="AA55" i="1"/>
  <c r="Q56" i="1"/>
  <c r="X56" i="1" s="1"/>
  <c r="R56" i="1"/>
  <c r="Y56" i="1" s="1"/>
  <c r="S56" i="1"/>
  <c r="Z56" i="1" s="1"/>
  <c r="T56" i="1"/>
  <c r="W56" i="1" s="1"/>
  <c r="U56" i="1"/>
  <c r="V56" i="1"/>
  <c r="AA56" i="1"/>
  <c r="Q57" i="1"/>
  <c r="R57" i="1"/>
  <c r="S57" i="1"/>
  <c r="T57" i="1"/>
  <c r="U57" i="1"/>
  <c r="V57" i="1"/>
  <c r="W57" i="1"/>
  <c r="X57" i="1"/>
  <c r="Y57" i="1"/>
  <c r="Z57" i="1"/>
  <c r="AA57" i="1"/>
  <c r="Q58" i="1"/>
  <c r="X58" i="1" s="1"/>
  <c r="R58" i="1"/>
  <c r="S58" i="1"/>
  <c r="T58" i="1"/>
  <c r="U58" i="1"/>
  <c r="V58" i="1"/>
  <c r="AA58" i="1" s="1"/>
  <c r="W58" i="1"/>
  <c r="Q59" i="1"/>
  <c r="R59" i="1"/>
  <c r="S59" i="1"/>
  <c r="T59" i="1"/>
  <c r="U59" i="1"/>
  <c r="V59" i="1"/>
  <c r="W59" i="1"/>
  <c r="X59" i="1"/>
  <c r="Y59" i="1"/>
  <c r="Z59" i="1"/>
  <c r="AA59" i="1"/>
  <c r="AA2" i="1"/>
  <c r="Z2" i="1"/>
  <c r="Y2" i="1"/>
  <c r="X2" i="1"/>
  <c r="W2" i="1"/>
  <c r="S2" i="1"/>
  <c r="R2" i="1"/>
  <c r="Q2" i="1"/>
  <c r="V2" i="1"/>
  <c r="U2" i="1"/>
  <c r="T2" i="1"/>
  <c r="W50" i="1" l="1"/>
  <c r="X37" i="1"/>
  <c r="Y35" i="1"/>
  <c r="W14" i="1"/>
  <c r="Y50" i="1"/>
  <c r="X50" i="1"/>
  <c r="Z48" i="1"/>
  <c r="W27" i="1"/>
  <c r="Y14" i="1"/>
  <c r="Z27" i="1"/>
  <c r="X14" i="1"/>
  <c r="Z12" i="1"/>
  <c r="Y27" i="1"/>
  <c r="Z4" i="1"/>
  <c r="Z40" i="1"/>
  <c r="X27" i="1"/>
  <c r="Y4" i="1"/>
  <c r="Y40" i="1"/>
  <c r="X4" i="1"/>
  <c r="Z53" i="1"/>
  <c r="X40" i="1"/>
  <c r="X55" i="1"/>
  <c r="Y53" i="1"/>
  <c r="W32" i="1"/>
  <c r="Z17" i="1"/>
  <c r="W45" i="1"/>
  <c r="X19" i="1"/>
  <c r="Y17" i="1"/>
  <c r="W9" i="1"/>
  <c r="Z45" i="1"/>
  <c r="X41" i="1"/>
  <c r="Y32" i="1"/>
  <c r="AA18" i="1"/>
  <c r="Z9" i="1"/>
  <c r="X54" i="1"/>
  <c r="Y45" i="1"/>
  <c r="X32" i="1"/>
  <c r="Z30" i="1"/>
  <c r="Y9" i="1"/>
  <c r="Z58" i="1"/>
  <c r="X45" i="1"/>
  <c r="AA31" i="1"/>
  <c r="X9" i="1"/>
  <c r="Y58" i="1"/>
</calcChain>
</file>

<file path=xl/sharedStrings.xml><?xml version="1.0" encoding="utf-8"?>
<sst xmlns="http://schemas.openxmlformats.org/spreadsheetml/2006/main" count="27" uniqueCount="27">
  <si>
    <t>I1</t>
  </si>
  <si>
    <t>I2</t>
  </si>
  <si>
    <t>I3</t>
  </si>
  <si>
    <t>gx</t>
  </si>
  <si>
    <t>gy</t>
  </si>
  <si>
    <t>gz</t>
  </si>
  <si>
    <t>ax</t>
  </si>
  <si>
    <t>ay</t>
  </si>
  <si>
    <t>az</t>
  </si>
  <si>
    <t>V1real</t>
  </si>
  <si>
    <t>V2real</t>
  </si>
  <si>
    <t>V3real</t>
  </si>
  <si>
    <t>N1</t>
  </si>
  <si>
    <t>N2</t>
  </si>
  <si>
    <t>N3</t>
  </si>
  <si>
    <t>Type</t>
  </si>
  <si>
    <t>Vx</t>
  </si>
  <si>
    <t>Vy</t>
  </si>
  <si>
    <t>omega</t>
  </si>
  <si>
    <t>Ix</t>
  </si>
  <si>
    <t>Iy</t>
  </si>
  <si>
    <t>If</t>
  </si>
  <si>
    <t>Is</t>
  </si>
  <si>
    <t>Tx</t>
  </si>
  <si>
    <t>Ty</t>
  </si>
  <si>
    <t>Tf</t>
  </si>
  <si>
    <t>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</si>
</sst>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2" fillId="0" borderId="0" xfId="0" applyNumberFormat="1" applyFont="1"/>
    <xf numFmtId="11" fontId="2" fillId="0" borderId="0" xfId="0" applyNumberFormat="1" applyFont="1"/>
    <xf numFmtId="0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9"/>
  <sheetViews>
    <sheetView tabSelected="1" topLeftCell="H1" workbookViewId="0">
      <selection activeCell="Y8" sqref="Y8"/>
    </sheetView>
  </sheetViews>
  <sheetFormatPr defaultColWidth="9.109375"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  <c r="U1" s="2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1.1432863529411801</v>
      </c>
      <c r="B2">
        <v>1.6591247058823502E-2</v>
      </c>
      <c r="C2">
        <v>1.07390676470588</v>
      </c>
      <c r="D2">
        <v>0.34352941176470603</v>
      </c>
      <c r="E2">
        <v>-3.2941176470588203E-2</v>
      </c>
      <c r="F2">
        <v>0.185294117647059</v>
      </c>
      <c r="G2">
        <v>1.88993423529412E-2</v>
      </c>
      <c r="H2">
        <v>-3.2456500000000001E-3</v>
      </c>
      <c r="I2">
        <v>4.32272470588235E-3</v>
      </c>
      <c r="J2">
        <v>-254.11764705882399</v>
      </c>
      <c r="K2">
        <v>0</v>
      </c>
      <c r="L2">
        <v>257.29411764705901</v>
      </c>
      <c r="M2">
        <v>-5081</v>
      </c>
      <c r="N2">
        <v>-2</v>
      </c>
      <c r="O2">
        <v>5062</v>
      </c>
      <c r="P2">
        <v>1</v>
      </c>
      <c r="Q2">
        <f>((-2/3)*COS(-30*3.1415/180)+(2/3)*SIN(0*3.1415/180)+(2/3)*COS(30*3.1415*180))*J2*40</f>
        <v>-77.193988172323898</v>
      </c>
      <c r="R2">
        <f>((-2/3)*SIN(-30*3.1415/180)-((2/3)*COS(0*3.1415/180))+(2/3)*SIN(30*3.1415/180))*K2*40</f>
        <v>0</v>
      </c>
      <c r="S2">
        <f>(40*L2)/(3*125)</f>
        <v>27.444705882352959</v>
      </c>
      <c r="T2">
        <f>((-2/3)*COS(-30*3.1415/180)+(2/3)*SIN(0*3.1415/180)+(2/3)*COS(30*3.1415*180))*A2</f>
        <v>8.682477803882236E-3</v>
      </c>
      <c r="U2">
        <f>((-2/3)*SIN(-30*3.1415/180)+(-2/3)*COS(0*3.1415/180)+(2/3)*SIN(30*3.1415*180))*B2</f>
        <v>-1.0836605629031397E-2</v>
      </c>
      <c r="V2">
        <f>C2/3</f>
        <v>0.35796892156862664</v>
      </c>
      <c r="W2">
        <f>SUM(T2:V2)</f>
        <v>0.35581479374347746</v>
      </c>
      <c r="X2">
        <f>Q2/T2</f>
        <v>-8890.7786366937562</v>
      </c>
      <c r="Y2">
        <f>R2/U2</f>
        <v>0</v>
      </c>
      <c r="Z2">
        <f>S2/V2</f>
        <v>76.667845247821333</v>
      </c>
      <c r="AA2">
        <f>F2/V2</f>
        <v>0.51762626999879391</v>
      </c>
    </row>
    <row r="3" spans="1:27" x14ac:dyDescent="0.3">
      <c r="A3">
        <v>0.49924582352941199</v>
      </c>
      <c r="B3">
        <v>1.1357470000000001</v>
      </c>
      <c r="C3">
        <v>0.48114629411764698</v>
      </c>
      <c r="D3">
        <v>0.65411764705882403</v>
      </c>
      <c r="E3">
        <v>0.26352941176470601</v>
      </c>
      <c r="F3">
        <v>-1.8264705882352901</v>
      </c>
      <c r="G3">
        <v>9.0044848235294097E-3</v>
      </c>
      <c r="H3">
        <v>-1.5883503529411799E-2</v>
      </c>
      <c r="I3">
        <v>-7.6688917647058799E-3</v>
      </c>
      <c r="J3">
        <v>162</v>
      </c>
      <c r="K3">
        <v>-308.11764705882399</v>
      </c>
      <c r="L3">
        <v>154.058823529412</v>
      </c>
      <c r="M3">
        <v>2952</v>
      </c>
      <c r="N3">
        <v>-5933</v>
      </c>
      <c r="O3">
        <v>2991</v>
      </c>
      <c r="P3">
        <v>1</v>
      </c>
      <c r="Q3">
        <f t="shared" ref="Q3:Q59" si="0">((-2/3)*COS(-30*3.1415/180)+(2/3)*SIN(0*3.1415/180)+(2/3)*COS(30*3.1415*180))*J3*40</f>
        <v>49.211167459856391</v>
      </c>
      <c r="R3">
        <f t="shared" ref="R3:R59" si="1">((-2/3)*SIN(-30*3.1415/180)-((2/3)*COS(0*3.1415/180))+(2/3)*SIN(30*3.1415/180))*K3*40</f>
        <v>0.21976517251383584</v>
      </c>
      <c r="S3">
        <f t="shared" ref="S3:S59" si="2">(40*L3)/(3*125)</f>
        <v>16.43294117647061</v>
      </c>
      <c r="T3">
        <f t="shared" ref="T3:T59" si="3">((-2/3)*COS(-30*3.1415/180)+(2/3)*SIN(0*3.1415/180)+(2/3)*COS(30*3.1415*180))*A3</f>
        <v>3.7914305286018217E-3</v>
      </c>
      <c r="U3">
        <f t="shared" ref="U3:U59" si="4">((-2/3)*SIN(-30*3.1415/180)+(-2/3)*COS(0*3.1415/180)+(2/3)*SIN(30*3.1415*180))*B3</f>
        <v>-0.74181538552945092</v>
      </c>
      <c r="V3">
        <f t="shared" ref="V3:V59" si="5">C3/3</f>
        <v>0.16038209803921566</v>
      </c>
      <c r="W3">
        <f t="shared" ref="W3:W59" si="6">SUM(T3:V3)</f>
        <v>-0.57764185696163339</v>
      </c>
      <c r="X3">
        <f t="shared" ref="X3:X59" si="7">Q3/T3</f>
        <v>12979.577784326211</v>
      </c>
      <c r="Y3">
        <f t="shared" ref="Y3:Y59" si="8">R3/U3</f>
        <v>-0.29625318751913499</v>
      </c>
      <c r="Z3">
        <f t="shared" ref="Z3:Z59" si="9">S3/V3</f>
        <v>102.46119347093543</v>
      </c>
      <c r="AA3">
        <f t="shared" ref="AA3:AA59" si="10">F3/V3</f>
        <v>-11.388244764005348</v>
      </c>
    </row>
    <row r="4" spans="1:27" x14ac:dyDescent="0.3">
      <c r="A4">
        <v>0.351432588235294</v>
      </c>
      <c r="B4">
        <v>0.87481135294117696</v>
      </c>
      <c r="C4">
        <v>0.94268476470588203</v>
      </c>
      <c r="D4">
        <v>0.84588235294117697</v>
      </c>
      <c r="E4">
        <v>0.114117647058824</v>
      </c>
      <c r="F4">
        <v>-3.0329411764705898</v>
      </c>
      <c r="G4">
        <v>1.6070229411764701E-2</v>
      </c>
      <c r="H4">
        <v>-3.4308952941176502E-2</v>
      </c>
      <c r="I4">
        <v>-8.2146240588235296E-3</v>
      </c>
      <c r="J4">
        <v>-111.17647058823501</v>
      </c>
      <c r="K4">
        <v>-327.17647058823502</v>
      </c>
      <c r="L4">
        <v>462.17647058823502</v>
      </c>
      <c r="M4">
        <v>-2065</v>
      </c>
      <c r="N4">
        <v>-6018</v>
      </c>
      <c r="O4">
        <v>8444</v>
      </c>
      <c r="P4">
        <v>1</v>
      </c>
      <c r="Q4">
        <f t="shared" si="0"/>
        <v>-33.77236982539155</v>
      </c>
      <c r="R4">
        <f t="shared" si="1"/>
        <v>0.23335889452500039</v>
      </c>
      <c r="S4">
        <f t="shared" si="2"/>
        <v>49.298823529411735</v>
      </c>
      <c r="T4">
        <f t="shared" si="3"/>
        <v>2.6688901158175632E-3</v>
      </c>
      <c r="U4">
        <f t="shared" si="4"/>
        <v>-0.57138475474520267</v>
      </c>
      <c r="V4">
        <f t="shared" si="5"/>
        <v>0.31422825490196066</v>
      </c>
      <c r="W4">
        <f t="shared" si="6"/>
        <v>-0.2544876097274244</v>
      </c>
      <c r="X4">
        <f t="shared" si="7"/>
        <v>-12654.087789240448</v>
      </c>
      <c r="Y4">
        <f t="shared" si="8"/>
        <v>-0.40840938192175252</v>
      </c>
      <c r="Z4">
        <f t="shared" si="9"/>
        <v>156.8885762510217</v>
      </c>
      <c r="AA4">
        <f t="shared" si="10"/>
        <v>-9.6520320154432593</v>
      </c>
    </row>
    <row r="5" spans="1:27" x14ac:dyDescent="0.3">
      <c r="A5">
        <v>0.33333307692307701</v>
      </c>
      <c r="B5">
        <v>0.45956592307692301</v>
      </c>
      <c r="C5">
        <v>0.25838238461538499</v>
      </c>
      <c r="D5">
        <v>0.533076923076923</v>
      </c>
      <c r="E5">
        <v>-1.1307692307692301</v>
      </c>
      <c r="F5">
        <v>16.233076923076901</v>
      </c>
      <c r="G5">
        <v>-8.2632184615384595E-3</v>
      </c>
      <c r="H5">
        <v>7.34299384615385E-3</v>
      </c>
      <c r="I5">
        <v>2.1296570000000001E-2</v>
      </c>
      <c r="J5">
        <v>157.84615384615401</v>
      </c>
      <c r="K5">
        <v>162</v>
      </c>
      <c r="L5">
        <v>170.30769230769201</v>
      </c>
      <c r="M5">
        <v>3503</v>
      </c>
      <c r="N5">
        <v>3338</v>
      </c>
      <c r="O5">
        <v>3533</v>
      </c>
      <c r="P5">
        <v>1</v>
      </c>
      <c r="Q5">
        <f t="shared" si="0"/>
        <v>47.949342653193455</v>
      </c>
      <c r="R5">
        <f t="shared" si="1"/>
        <v>-0.1155466370949032</v>
      </c>
      <c r="S5">
        <f t="shared" si="2"/>
        <v>18.166153846153815</v>
      </c>
      <c r="T5">
        <f t="shared" si="3"/>
        <v>2.5314367080819036E-3</v>
      </c>
      <c r="U5">
        <f t="shared" si="4"/>
        <v>-0.30016638600278545</v>
      </c>
      <c r="V5">
        <f t="shared" si="5"/>
        <v>8.6127461538461667E-2</v>
      </c>
      <c r="W5">
        <f t="shared" si="6"/>
        <v>-0.21150748775624184</v>
      </c>
      <c r="X5">
        <f t="shared" si="7"/>
        <v>18941.553031963882</v>
      </c>
      <c r="Y5">
        <f t="shared" si="8"/>
        <v>0.38494196046932105</v>
      </c>
      <c r="Z5">
        <f t="shared" si="9"/>
        <v>210.92173763929421</v>
      </c>
      <c r="AA5">
        <f t="shared" si="10"/>
        <v>188.4773640498826</v>
      </c>
    </row>
    <row r="6" spans="1:27" x14ac:dyDescent="0.3">
      <c r="A6">
        <v>0.34700833333333297</v>
      </c>
      <c r="B6">
        <v>0.35384586666666701</v>
      </c>
      <c r="C6">
        <v>0.33675186666666701</v>
      </c>
      <c r="D6">
        <v>9.3333333333333393E-2</v>
      </c>
      <c r="E6">
        <v>-1.0266666666666699</v>
      </c>
      <c r="F6">
        <v>34.4226666666667</v>
      </c>
      <c r="G6">
        <v>-3.7760518666666702E-3</v>
      </c>
      <c r="H6" s="1">
        <v>-4.88173333333335E-5</v>
      </c>
      <c r="I6">
        <v>3.90623733333333E-3</v>
      </c>
      <c r="J6">
        <v>360</v>
      </c>
      <c r="K6">
        <v>352.8</v>
      </c>
      <c r="L6">
        <v>349.2</v>
      </c>
      <c r="M6">
        <v>5917</v>
      </c>
      <c r="N6">
        <v>5931</v>
      </c>
      <c r="O6">
        <v>5939</v>
      </c>
      <c r="P6">
        <v>1</v>
      </c>
      <c r="Q6">
        <f t="shared" si="0"/>
        <v>109.35814991079198</v>
      </c>
      <c r="R6">
        <f t="shared" si="1"/>
        <v>-0.25163489856223364</v>
      </c>
      <c r="S6">
        <f t="shared" si="2"/>
        <v>37.247999999999998</v>
      </c>
      <c r="T6">
        <f t="shared" si="3"/>
        <v>2.6352909261778265E-3</v>
      </c>
      <c r="U6">
        <f t="shared" si="4"/>
        <v>-0.23111512334995052</v>
      </c>
      <c r="V6">
        <f t="shared" si="5"/>
        <v>0.11225062222222233</v>
      </c>
      <c r="W6">
        <f t="shared" si="6"/>
        <v>-0.11622921020155037</v>
      </c>
      <c r="X6">
        <f t="shared" si="7"/>
        <v>41497.562498499115</v>
      </c>
      <c r="Y6">
        <f t="shared" si="8"/>
        <v>1.0887859475176467</v>
      </c>
      <c r="Z6">
        <f t="shared" si="9"/>
        <v>331.82889557850473</v>
      </c>
      <c r="AA6">
        <f t="shared" si="10"/>
        <v>306.65902767576841</v>
      </c>
    </row>
    <row r="7" spans="1:27" x14ac:dyDescent="0.3">
      <c r="A7">
        <v>0.35096131250000001</v>
      </c>
      <c r="B7">
        <v>0.45192293750000001</v>
      </c>
      <c r="C7">
        <v>0.43749981249999997</v>
      </c>
      <c r="D7">
        <v>-0.68874999999999997</v>
      </c>
      <c r="E7">
        <v>-5.4362500000000002</v>
      </c>
      <c r="F7">
        <v>76.135000000000005</v>
      </c>
      <c r="G7">
        <v>9.1095062499999997E-3</v>
      </c>
      <c r="H7">
        <v>2.2643987500000001E-2</v>
      </c>
      <c r="I7">
        <v>8.7982262500000005E-2</v>
      </c>
      <c r="J7">
        <v>759.375</v>
      </c>
      <c r="K7">
        <v>762.75</v>
      </c>
      <c r="L7">
        <v>767.8125</v>
      </c>
      <c r="M7">
        <v>13176</v>
      </c>
      <c r="N7">
        <v>13081</v>
      </c>
      <c r="O7">
        <v>13128</v>
      </c>
      <c r="P7">
        <v>1</v>
      </c>
      <c r="Q7">
        <f t="shared" si="0"/>
        <v>230.67734746807685</v>
      </c>
      <c r="R7">
        <f t="shared" si="1"/>
        <v>-0.54403208298850259</v>
      </c>
      <c r="S7">
        <f t="shared" si="2"/>
        <v>81.900000000000006</v>
      </c>
      <c r="T7">
        <f t="shared" si="3"/>
        <v>2.6653110989766191E-3</v>
      </c>
      <c r="U7">
        <f t="shared" si="4"/>
        <v>-0.29517435494979466</v>
      </c>
      <c r="V7">
        <f t="shared" si="5"/>
        <v>0.14583327083333333</v>
      </c>
      <c r="W7">
        <f t="shared" si="6"/>
        <v>-0.14667577301748472</v>
      </c>
      <c r="X7">
        <f t="shared" si="7"/>
        <v>86548.000928164984</v>
      </c>
      <c r="Y7">
        <f t="shared" si="8"/>
        <v>1.8430872257890947</v>
      </c>
      <c r="Z7">
        <f t="shared" si="9"/>
        <v>561.60024068581743</v>
      </c>
      <c r="AA7">
        <f t="shared" si="10"/>
        <v>522.06879517234086</v>
      </c>
    </row>
    <row r="8" spans="1:27" x14ac:dyDescent="0.3">
      <c r="A8">
        <v>0.505982933333333</v>
      </c>
      <c r="B8">
        <v>3.4188066666666701E-3</v>
      </c>
      <c r="C8">
        <v>0.28888860666666699</v>
      </c>
      <c r="D8">
        <v>0.72399999999999998</v>
      </c>
      <c r="E8">
        <v>0.32200000000000001</v>
      </c>
      <c r="F8">
        <v>0.72266666666666701</v>
      </c>
      <c r="G8">
        <v>-1.660166E-3</v>
      </c>
      <c r="H8">
        <v>6.9661374666666696E-3</v>
      </c>
      <c r="I8">
        <v>2.3600399999999999E-3</v>
      </c>
      <c r="J8">
        <v>-291.60000000000002</v>
      </c>
      <c r="K8">
        <v>1.8</v>
      </c>
      <c r="L8">
        <v>300.60000000000002</v>
      </c>
      <c r="M8">
        <v>-4703</v>
      </c>
      <c r="N8">
        <v>6</v>
      </c>
      <c r="O8">
        <v>4877</v>
      </c>
      <c r="P8">
        <v>2</v>
      </c>
      <c r="Q8">
        <f t="shared" si="0"/>
        <v>-88.580101427741511</v>
      </c>
      <c r="R8">
        <f t="shared" si="1"/>
        <v>-1.2838515232767023E-3</v>
      </c>
      <c r="S8">
        <f t="shared" si="2"/>
        <v>32.064</v>
      </c>
      <c r="T8">
        <f t="shared" si="3"/>
        <v>3.8425942691506175E-3</v>
      </c>
      <c r="U8">
        <f t="shared" si="4"/>
        <v>-2.2330002945057242E-3</v>
      </c>
      <c r="V8">
        <f t="shared" si="5"/>
        <v>9.6296202222222335E-2</v>
      </c>
      <c r="W8">
        <f t="shared" si="6"/>
        <v>9.7905796196867234E-2</v>
      </c>
      <c r="X8">
        <f t="shared" si="7"/>
        <v>-23052.160916099427</v>
      </c>
      <c r="Y8">
        <f t="shared" si="8"/>
        <v>0.57494462783350575</v>
      </c>
      <c r="Z8">
        <f t="shared" si="9"/>
        <v>332.97263298095646</v>
      </c>
      <c r="AA8">
        <f t="shared" si="10"/>
        <v>7.5046227160544943</v>
      </c>
    </row>
    <row r="9" spans="1:27" x14ac:dyDescent="0.3">
      <c r="A9">
        <v>0.22435875625000001</v>
      </c>
      <c r="B9">
        <v>0.27884593749999997</v>
      </c>
      <c r="C9">
        <v>0.174679325</v>
      </c>
      <c r="D9">
        <v>0.56062500000000004</v>
      </c>
      <c r="E9">
        <v>0.38250000000000001</v>
      </c>
      <c r="F9">
        <v>4.2500000000000003E-2</v>
      </c>
      <c r="G9">
        <v>-9.1247637500000006E-3</v>
      </c>
      <c r="H9">
        <v>-1.9577055624999999E-2</v>
      </c>
      <c r="I9">
        <v>8.1634843750000002E-3</v>
      </c>
      <c r="J9">
        <v>168.75</v>
      </c>
      <c r="K9">
        <v>-356.0625</v>
      </c>
      <c r="L9">
        <v>180.5625</v>
      </c>
      <c r="M9">
        <v>3007</v>
      </c>
      <c r="N9">
        <v>-6222</v>
      </c>
      <c r="O9">
        <v>3059</v>
      </c>
      <c r="P9">
        <v>2</v>
      </c>
      <c r="Q9">
        <f t="shared" si="0"/>
        <v>51.261632770683732</v>
      </c>
      <c r="R9">
        <f t="shared" si="1"/>
        <v>0.25396187944817267</v>
      </c>
      <c r="S9">
        <f t="shared" si="2"/>
        <v>19.260000000000002</v>
      </c>
      <c r="T9">
        <f t="shared" si="3"/>
        <v>1.7038512847073846E-3</v>
      </c>
      <c r="U9">
        <f t="shared" si="4"/>
        <v>-0.18212877219123946</v>
      </c>
      <c r="V9">
        <f t="shared" si="5"/>
        <v>5.8226441666666663E-2</v>
      </c>
      <c r="W9">
        <f t="shared" si="6"/>
        <v>-0.12219847923986543</v>
      </c>
      <c r="X9">
        <f t="shared" si="7"/>
        <v>30085.743533354958</v>
      </c>
      <c r="Y9">
        <f t="shared" si="8"/>
        <v>-1.39440834302395</v>
      </c>
      <c r="Z9">
        <f t="shared" si="9"/>
        <v>330.77755481365642</v>
      </c>
      <c r="AA9">
        <f t="shared" si="10"/>
        <v>0.72990893455765304</v>
      </c>
    </row>
    <row r="10" spans="1:27" x14ac:dyDescent="0.3">
      <c r="A10">
        <v>0.22564087333333299</v>
      </c>
      <c r="B10">
        <v>0.28376040000000002</v>
      </c>
      <c r="C10">
        <v>0.28034160000000002</v>
      </c>
      <c r="D10">
        <v>0.37866666666666698</v>
      </c>
      <c r="E10">
        <v>0.15733333266666699</v>
      </c>
      <c r="F10">
        <v>1.3213333333333299</v>
      </c>
      <c r="G10">
        <v>8.3496166666666705E-3</v>
      </c>
      <c r="H10">
        <v>9.8144533333333304E-3</v>
      </c>
      <c r="I10">
        <v>1.4648466666666599E-3</v>
      </c>
      <c r="J10">
        <v>-113.4</v>
      </c>
      <c r="K10">
        <v>-354.6</v>
      </c>
      <c r="L10">
        <v>484.2</v>
      </c>
      <c r="M10">
        <v>-2035</v>
      </c>
      <c r="N10">
        <v>-6223</v>
      </c>
      <c r="O10">
        <v>8546</v>
      </c>
      <c r="P10">
        <v>2</v>
      </c>
      <c r="Q10">
        <f t="shared" si="0"/>
        <v>-34.447817221899477</v>
      </c>
      <c r="R10">
        <f t="shared" si="1"/>
        <v>0.25291875008551035</v>
      </c>
      <c r="S10">
        <f t="shared" si="2"/>
        <v>51.648000000000003</v>
      </c>
      <c r="T10">
        <f t="shared" si="3"/>
        <v>1.7135880869436565E-3</v>
      </c>
      <c r="U10">
        <f t="shared" si="4"/>
        <v>-0.18533866303322061</v>
      </c>
      <c r="V10">
        <f t="shared" si="5"/>
        <v>9.3447200000000008E-2</v>
      </c>
      <c r="W10">
        <f t="shared" si="6"/>
        <v>-9.0177874946276937E-2</v>
      </c>
      <c r="X10">
        <f t="shared" si="7"/>
        <v>-20102.740842077372</v>
      </c>
      <c r="Y10">
        <f t="shared" si="8"/>
        <v>-1.3646302716674745</v>
      </c>
      <c r="Z10">
        <f t="shared" si="9"/>
        <v>552.69713806299171</v>
      </c>
      <c r="AA10">
        <f t="shared" si="10"/>
        <v>14.139892188672638</v>
      </c>
    </row>
    <row r="11" spans="1:27" x14ac:dyDescent="0.3">
      <c r="A11">
        <v>0.282051</v>
      </c>
      <c r="B11">
        <v>0.331623733333333</v>
      </c>
      <c r="C11">
        <v>9.9145239999999996E-2</v>
      </c>
      <c r="D11">
        <v>0.541333333333334</v>
      </c>
      <c r="E11">
        <v>-0.87866666666666704</v>
      </c>
      <c r="F11">
        <v>20.526666666666699</v>
      </c>
      <c r="G11">
        <v>2.0833386666666699E-3</v>
      </c>
      <c r="H11">
        <v>-1.7399095333333298E-2</v>
      </c>
      <c r="I11">
        <v>-5.5013033333333296E-3</v>
      </c>
      <c r="J11">
        <v>167.4</v>
      </c>
      <c r="K11">
        <v>165.6</v>
      </c>
      <c r="L11">
        <v>187.2</v>
      </c>
      <c r="M11">
        <v>2732</v>
      </c>
      <c r="N11">
        <v>2726</v>
      </c>
      <c r="O11">
        <v>2953</v>
      </c>
      <c r="P11">
        <v>2</v>
      </c>
      <c r="Q11">
        <f t="shared" si="0"/>
        <v>50.851539708518274</v>
      </c>
      <c r="R11">
        <f t="shared" si="1"/>
        <v>-0.11811434014145661</v>
      </c>
      <c r="S11">
        <f t="shared" si="2"/>
        <v>19.968</v>
      </c>
      <c r="T11">
        <f t="shared" si="3"/>
        <v>2.1419844125339436E-3</v>
      </c>
      <c r="U11">
        <f t="shared" si="4"/>
        <v>-0.2166006932823791</v>
      </c>
      <c r="V11">
        <f t="shared" si="5"/>
        <v>3.3048413333333332E-2</v>
      </c>
      <c r="W11">
        <f t="shared" si="6"/>
        <v>-0.18141029553651183</v>
      </c>
      <c r="X11">
        <f t="shared" si="7"/>
        <v>23740.387376751016</v>
      </c>
      <c r="Y11">
        <f t="shared" si="8"/>
        <v>0.54530915091519438</v>
      </c>
      <c r="Z11">
        <f t="shared" si="9"/>
        <v>604.20449837026979</v>
      </c>
      <c r="AA11">
        <f t="shared" si="10"/>
        <v>621.10899121329578</v>
      </c>
    </row>
    <row r="12" spans="1:27" x14ac:dyDescent="0.3">
      <c r="A12">
        <v>0.22735027999999999</v>
      </c>
      <c r="B12">
        <v>0.25299120666666702</v>
      </c>
      <c r="C12">
        <v>0.17606822666666699</v>
      </c>
      <c r="D12">
        <v>1.3819999999999999</v>
      </c>
      <c r="E12">
        <v>-1.82666666666667</v>
      </c>
      <c r="F12">
        <v>43.502000000000002</v>
      </c>
      <c r="G12">
        <v>-6.13608666666666E-3</v>
      </c>
      <c r="H12">
        <v>3.6458293333333299E-3</v>
      </c>
      <c r="I12">
        <v>-1.8098960000000001E-2</v>
      </c>
      <c r="J12">
        <v>358.2</v>
      </c>
      <c r="K12">
        <v>367.2</v>
      </c>
      <c r="L12">
        <v>374.4</v>
      </c>
      <c r="M12">
        <v>5821</v>
      </c>
      <c r="N12">
        <v>5845</v>
      </c>
      <c r="O12">
        <v>5924</v>
      </c>
      <c r="P12">
        <v>2</v>
      </c>
      <c r="Q12">
        <f t="shared" si="0"/>
        <v>108.81135916123802</v>
      </c>
      <c r="R12">
        <f t="shared" si="1"/>
        <v>-0.26190571074844726</v>
      </c>
      <c r="S12">
        <f t="shared" si="2"/>
        <v>39.936</v>
      </c>
      <c r="T12">
        <f t="shared" si="3"/>
        <v>1.7265698612847591E-3</v>
      </c>
      <c r="U12">
        <f t="shared" si="4"/>
        <v>-0.16524170392613369</v>
      </c>
      <c r="V12">
        <f t="shared" si="5"/>
        <v>5.8689408888888996E-2</v>
      </c>
      <c r="W12">
        <f t="shared" si="6"/>
        <v>-0.10482572517595995</v>
      </c>
      <c r="X12">
        <f t="shared" si="7"/>
        <v>63021.694980978253</v>
      </c>
      <c r="Y12">
        <f t="shared" si="8"/>
        <v>1.5849855364934042</v>
      </c>
      <c r="Z12">
        <f t="shared" si="9"/>
        <v>680.46349002435829</v>
      </c>
      <c r="AA12">
        <f t="shared" si="10"/>
        <v>741.22402701922158</v>
      </c>
    </row>
    <row r="13" spans="1:27" x14ac:dyDescent="0.3">
      <c r="A13">
        <v>0.29743581333333302</v>
      </c>
      <c r="B13">
        <v>0.28717940666666703</v>
      </c>
      <c r="C13">
        <v>0.31452981333333302</v>
      </c>
      <c r="D13">
        <v>3.1766666666666699</v>
      </c>
      <c r="E13">
        <v>-4.9533333333333296</v>
      </c>
      <c r="F13">
        <v>88.2946666666667</v>
      </c>
      <c r="G13">
        <v>-1.07259133333333E-2</v>
      </c>
      <c r="H13">
        <v>-4.69889546666667E-2</v>
      </c>
      <c r="I13">
        <v>-5.3271446666666701E-2</v>
      </c>
      <c r="J13">
        <v>752.4</v>
      </c>
      <c r="K13">
        <v>748.8</v>
      </c>
      <c r="L13">
        <v>765</v>
      </c>
      <c r="M13">
        <v>12826</v>
      </c>
      <c r="N13">
        <v>12878</v>
      </c>
      <c r="O13">
        <v>12864</v>
      </c>
      <c r="P13">
        <v>2</v>
      </c>
      <c r="Q13">
        <f t="shared" si="0"/>
        <v>228.55853331355522</v>
      </c>
      <c r="R13">
        <f t="shared" si="1"/>
        <v>-0.53408223368310814</v>
      </c>
      <c r="S13">
        <f t="shared" si="2"/>
        <v>81.599999999999994</v>
      </c>
      <c r="T13">
        <f t="shared" si="3"/>
        <v>2.2588215460656231E-3</v>
      </c>
      <c r="U13">
        <f t="shared" si="4"/>
        <v>-0.18757179395811968</v>
      </c>
      <c r="V13">
        <f t="shared" si="5"/>
        <v>0.10484327111111101</v>
      </c>
      <c r="W13">
        <f t="shared" si="6"/>
        <v>-8.0469701300943039E-2</v>
      </c>
      <c r="X13">
        <f t="shared" si="7"/>
        <v>101184.85619709737</v>
      </c>
      <c r="Y13">
        <f t="shared" si="8"/>
        <v>2.8473483268084325</v>
      </c>
      <c r="Z13">
        <f t="shared" si="9"/>
        <v>778.30459823713227</v>
      </c>
      <c r="AA13">
        <f t="shared" si="10"/>
        <v>842.15864052060715</v>
      </c>
    </row>
    <row r="14" spans="1:27" x14ac:dyDescent="0.3">
      <c r="A14">
        <v>0.60355053846153905</v>
      </c>
      <c r="B14">
        <v>1.9723853846153799E-2</v>
      </c>
      <c r="C14">
        <v>0.52268261538461602</v>
      </c>
      <c r="D14">
        <v>0.391538461538462</v>
      </c>
      <c r="E14">
        <v>0.37153846153846198</v>
      </c>
      <c r="F14">
        <v>0.41230769230769199</v>
      </c>
      <c r="G14">
        <v>1.6883275384615402E-2</v>
      </c>
      <c r="H14">
        <v>-2.1672150769230802E-2</v>
      </c>
      <c r="I14">
        <v>2.5728661538461498E-3</v>
      </c>
      <c r="J14">
        <v>-267.92307692307702</v>
      </c>
      <c r="K14">
        <v>0</v>
      </c>
      <c r="L14">
        <v>274.15384615384602</v>
      </c>
      <c r="M14">
        <v>-4715</v>
      </c>
      <c r="N14">
        <v>33</v>
      </c>
      <c r="O14">
        <v>4792</v>
      </c>
      <c r="P14">
        <v>3</v>
      </c>
      <c r="Q14">
        <f t="shared" si="0"/>
        <v>-81.387700029762513</v>
      </c>
      <c r="R14">
        <f t="shared" si="1"/>
        <v>0</v>
      </c>
      <c r="S14">
        <f t="shared" si="2"/>
        <v>29.243076923076906</v>
      </c>
      <c r="T14">
        <f t="shared" si="3"/>
        <v>4.5835534905427919E-3</v>
      </c>
      <c r="U14">
        <f t="shared" si="4"/>
        <v>-1.2882673909780191E-2</v>
      </c>
      <c r="V14">
        <f t="shared" si="5"/>
        <v>0.17422753846153868</v>
      </c>
      <c r="W14">
        <f t="shared" si="6"/>
        <v>0.1659284180423013</v>
      </c>
      <c r="X14">
        <f t="shared" si="7"/>
        <v>-17756.463450833307</v>
      </c>
      <c r="Y14">
        <f t="shared" si="8"/>
        <v>0</v>
      </c>
      <c r="Z14">
        <f t="shared" si="9"/>
        <v>167.84417194490993</v>
      </c>
      <c r="AA14">
        <f t="shared" si="10"/>
        <v>2.3664897980448152</v>
      </c>
    </row>
    <row r="15" spans="1:27" x14ac:dyDescent="0.3">
      <c r="A15">
        <v>0.41595433333333298</v>
      </c>
      <c r="B15">
        <v>0.63532777777777805</v>
      </c>
      <c r="C15">
        <v>0.192307522222222</v>
      </c>
      <c r="D15">
        <v>7.4438888888888899</v>
      </c>
      <c r="E15">
        <v>1.00722222222222</v>
      </c>
      <c r="F15">
        <v>1.17166666666667</v>
      </c>
      <c r="G15">
        <v>-1.68660705E-2</v>
      </c>
      <c r="H15">
        <v>-1.7022013888888899E-2</v>
      </c>
      <c r="I15">
        <v>2.8537339388888899E-2</v>
      </c>
      <c r="J15">
        <v>157.5</v>
      </c>
      <c r="K15">
        <v>-318</v>
      </c>
      <c r="L15">
        <v>174</v>
      </c>
      <c r="M15">
        <v>4158</v>
      </c>
      <c r="N15">
        <v>-8754</v>
      </c>
      <c r="O15">
        <v>4697</v>
      </c>
      <c r="P15">
        <v>3</v>
      </c>
      <c r="Q15">
        <f t="shared" si="0"/>
        <v>47.844190585971489</v>
      </c>
      <c r="R15">
        <f t="shared" si="1"/>
        <v>0.2268137691122174</v>
      </c>
      <c r="S15">
        <f t="shared" si="2"/>
        <v>18.559999999999999</v>
      </c>
      <c r="T15">
        <f t="shared" si="3"/>
        <v>3.1588886347715395E-3</v>
      </c>
      <c r="U15">
        <f t="shared" si="4"/>
        <v>-0.41496558688668489</v>
      </c>
      <c r="V15">
        <f t="shared" si="5"/>
        <v>6.4102507407407333E-2</v>
      </c>
      <c r="W15">
        <f t="shared" si="6"/>
        <v>-0.34770419084450599</v>
      </c>
      <c r="X15">
        <f t="shared" si="7"/>
        <v>15145.8934193898</v>
      </c>
      <c r="Y15">
        <f t="shared" si="8"/>
        <v>-0.54658452719876671</v>
      </c>
      <c r="Z15">
        <f t="shared" si="9"/>
        <v>289.53625607873346</v>
      </c>
      <c r="AA15">
        <f t="shared" si="10"/>
        <v>18.278016165889927</v>
      </c>
    </row>
    <row r="16" spans="1:27" x14ac:dyDescent="0.3">
      <c r="A16">
        <v>0.208546813333333</v>
      </c>
      <c r="B16">
        <v>0.48376059999999999</v>
      </c>
      <c r="C16">
        <v>0.56581213333333302</v>
      </c>
      <c r="D16">
        <v>3.2133333333333298</v>
      </c>
      <c r="E16">
        <v>2.21133333333333</v>
      </c>
      <c r="F16">
        <v>1.04466666666667</v>
      </c>
      <c r="G16">
        <v>-3.80860473333333E-3</v>
      </c>
      <c r="H16">
        <v>-2.3356069333333299E-2</v>
      </c>
      <c r="I16">
        <v>-1.50553454666667E-2</v>
      </c>
      <c r="J16">
        <v>-111.6</v>
      </c>
      <c r="K16">
        <v>-316.8</v>
      </c>
      <c r="L16">
        <v>468</v>
      </c>
      <c r="M16">
        <v>-1948</v>
      </c>
      <c r="N16">
        <v>-5742</v>
      </c>
      <c r="O16">
        <v>7982</v>
      </c>
      <c r="P16">
        <v>3</v>
      </c>
      <c r="Q16">
        <f t="shared" si="0"/>
        <v>-33.901026472345507</v>
      </c>
      <c r="R16">
        <f t="shared" si="1"/>
        <v>0.2259578680966996</v>
      </c>
      <c r="S16">
        <f t="shared" si="2"/>
        <v>49.92</v>
      </c>
      <c r="T16">
        <f t="shared" si="3"/>
        <v>1.5837703941614294E-3</v>
      </c>
      <c r="U16">
        <f t="shared" si="4"/>
        <v>-0.31596918679332497</v>
      </c>
      <c r="V16">
        <f t="shared" si="5"/>
        <v>0.18860404444444434</v>
      </c>
      <c r="W16">
        <f t="shared" si="6"/>
        <v>-0.12578137195471922</v>
      </c>
      <c r="X16">
        <f t="shared" si="7"/>
        <v>-21405.265938371915</v>
      </c>
      <c r="Y16">
        <f t="shared" si="8"/>
        <v>-0.71512627667867612</v>
      </c>
      <c r="Z16">
        <f t="shared" si="9"/>
        <v>264.68149263206578</v>
      </c>
      <c r="AA16">
        <f t="shared" si="10"/>
        <v>5.5389409582591931</v>
      </c>
    </row>
    <row r="17" spans="1:27" x14ac:dyDescent="0.3">
      <c r="A17">
        <v>0.29647406250000002</v>
      </c>
      <c r="B17">
        <v>0.32371768750000002</v>
      </c>
      <c r="C17">
        <v>0.20833312500000001</v>
      </c>
      <c r="D17">
        <v>-0.46687499999999998</v>
      </c>
      <c r="E17">
        <v>0.49249999999999999</v>
      </c>
      <c r="F17">
        <v>16.476875</v>
      </c>
      <c r="G17">
        <v>2.9449531875000001E-3</v>
      </c>
      <c r="H17">
        <v>1.4068603125000001E-2</v>
      </c>
      <c r="I17">
        <v>-7.2174024375000001E-3</v>
      </c>
      <c r="J17">
        <v>162</v>
      </c>
      <c r="K17">
        <v>158.625</v>
      </c>
      <c r="L17">
        <v>162</v>
      </c>
      <c r="M17">
        <v>2786</v>
      </c>
      <c r="N17">
        <v>2752</v>
      </c>
      <c r="O17">
        <v>2852</v>
      </c>
      <c r="P17">
        <v>3</v>
      </c>
      <c r="Q17">
        <f t="shared" si="0"/>
        <v>49.211167459856391</v>
      </c>
      <c r="R17">
        <f t="shared" si="1"/>
        <v>-0.11313941548875939</v>
      </c>
      <c r="S17">
        <f t="shared" si="2"/>
        <v>17.28</v>
      </c>
      <c r="T17">
        <f t="shared" si="3"/>
        <v>2.2515177063567025E-3</v>
      </c>
      <c r="U17">
        <f t="shared" si="4"/>
        <v>-0.21143684390583009</v>
      </c>
      <c r="V17">
        <f t="shared" si="5"/>
        <v>6.9444375000000003E-2</v>
      </c>
      <c r="W17">
        <f t="shared" si="6"/>
        <v>-0.13974095119947338</v>
      </c>
      <c r="X17">
        <f t="shared" si="7"/>
        <v>21856.886721751584</v>
      </c>
      <c r="Y17">
        <f t="shared" si="8"/>
        <v>0.5350979204889641</v>
      </c>
      <c r="Z17">
        <f t="shared" si="9"/>
        <v>248.83224883224884</v>
      </c>
      <c r="AA17">
        <f t="shared" si="10"/>
        <v>237.26723726723725</v>
      </c>
    </row>
    <row r="18" spans="1:27" x14ac:dyDescent="0.3">
      <c r="A18">
        <v>0.382783642857143</v>
      </c>
      <c r="B18">
        <v>0.375457571428571</v>
      </c>
      <c r="C18">
        <v>0.166666528571429</v>
      </c>
      <c r="D18">
        <v>0.29357142857142898</v>
      </c>
      <c r="E18">
        <v>-0.314285714285714</v>
      </c>
      <c r="F18">
        <v>41.060714285714297</v>
      </c>
      <c r="G18">
        <v>-2.98200341428571E-2</v>
      </c>
      <c r="H18">
        <v>-2.4815157142857099E-2</v>
      </c>
      <c r="I18">
        <v>5.7896121428571397E-3</v>
      </c>
      <c r="J18">
        <v>331.71428571428601</v>
      </c>
      <c r="K18">
        <v>333.642857142857</v>
      </c>
      <c r="L18">
        <v>366.42857142857099</v>
      </c>
      <c r="M18">
        <v>5484</v>
      </c>
      <c r="N18">
        <v>5511</v>
      </c>
      <c r="O18">
        <v>5787</v>
      </c>
      <c r="P18">
        <v>3</v>
      </c>
      <c r="Q18">
        <f t="shared" si="0"/>
        <v>100.76572384637271</v>
      </c>
      <c r="R18">
        <f t="shared" si="1"/>
        <v>-0.23797105020736006</v>
      </c>
      <c r="S18">
        <f t="shared" si="2"/>
        <v>39.085714285714239</v>
      </c>
      <c r="T18">
        <f t="shared" si="3"/>
        <v>2.9069799304840627E-3</v>
      </c>
      <c r="U18">
        <f t="shared" si="4"/>
        <v>-0.24523085079620438</v>
      </c>
      <c r="V18">
        <f t="shared" si="5"/>
        <v>5.5555509523809665E-2</v>
      </c>
      <c r="W18">
        <f t="shared" si="6"/>
        <v>-0.18676836134191066</v>
      </c>
      <c r="X18">
        <f t="shared" si="7"/>
        <v>34663.371009098591</v>
      </c>
      <c r="Y18">
        <f t="shared" si="8"/>
        <v>0.970396055124086</v>
      </c>
      <c r="Z18">
        <f t="shared" si="9"/>
        <v>703.54344007884777</v>
      </c>
      <c r="AA18">
        <f t="shared" si="10"/>
        <v>739.09346953458737</v>
      </c>
    </row>
    <row r="19" spans="1:27" x14ac:dyDescent="0.3">
      <c r="A19">
        <v>0.16826907499999999</v>
      </c>
      <c r="B19">
        <v>0.31089725000000001</v>
      </c>
      <c r="C19">
        <v>0.40705126250000001</v>
      </c>
      <c r="D19">
        <v>0.71875</v>
      </c>
      <c r="E19">
        <v>-5.8656249999999996</v>
      </c>
      <c r="F19">
        <v>82.466250000000002</v>
      </c>
      <c r="G19">
        <v>5.0659107500000002E-2</v>
      </c>
      <c r="H19">
        <v>8.9614820624999994E-2</v>
      </c>
      <c r="I19">
        <v>-1.7243187499999999E-3</v>
      </c>
      <c r="J19">
        <v>745.875</v>
      </c>
      <c r="K19">
        <v>735.75</v>
      </c>
      <c r="L19">
        <v>725.625</v>
      </c>
      <c r="M19">
        <v>13149</v>
      </c>
      <c r="N19">
        <v>13016</v>
      </c>
      <c r="O19">
        <v>12868</v>
      </c>
      <c r="P19">
        <v>3</v>
      </c>
      <c r="Q19">
        <f t="shared" si="0"/>
        <v>226.57641684642215</v>
      </c>
      <c r="R19">
        <f t="shared" si="1"/>
        <v>-0.52477431013935205</v>
      </c>
      <c r="S19">
        <f t="shared" si="2"/>
        <v>77.400000000000006</v>
      </c>
      <c r="T19">
        <f t="shared" si="3"/>
        <v>1.2778885228611318E-3</v>
      </c>
      <c r="U19">
        <f t="shared" si="4"/>
        <v>-0.20306314995223063</v>
      </c>
      <c r="V19">
        <f t="shared" si="5"/>
        <v>0.13568375416666667</v>
      </c>
      <c r="W19">
        <f t="shared" si="6"/>
        <v>-6.6101507262702835E-2</v>
      </c>
      <c r="X19">
        <f t="shared" si="7"/>
        <v>177305.30699119851</v>
      </c>
      <c r="Y19">
        <f t="shared" si="8"/>
        <v>2.5842911934676578</v>
      </c>
      <c r="Z19">
        <f t="shared" si="9"/>
        <v>570.44412188747356</v>
      </c>
      <c r="AA19">
        <f t="shared" si="10"/>
        <v>607.78278509822826</v>
      </c>
    </row>
    <row r="20" spans="1:27" x14ac:dyDescent="0.3">
      <c r="A20">
        <v>1.27451</v>
      </c>
      <c r="B20">
        <v>0</v>
      </c>
      <c r="C20">
        <v>1.0799391764705899</v>
      </c>
      <c r="D20">
        <v>0.98941176470588199</v>
      </c>
      <c r="E20">
        <v>0.273529411176471</v>
      </c>
      <c r="F20">
        <v>0.624117647058823</v>
      </c>
      <c r="G20">
        <v>-3.1881894705882399E-3</v>
      </c>
      <c r="H20">
        <v>-2.3983270588235298E-3</v>
      </c>
      <c r="I20">
        <v>-8.4443952941176507E-3</v>
      </c>
      <c r="J20">
        <v>-203.29411764705901</v>
      </c>
      <c r="K20">
        <v>0</v>
      </c>
      <c r="L20">
        <v>235.058823529412</v>
      </c>
      <c r="M20">
        <v>-3786</v>
      </c>
      <c r="N20">
        <v>4</v>
      </c>
      <c r="O20">
        <v>4066</v>
      </c>
      <c r="P20">
        <v>4</v>
      </c>
      <c r="Q20">
        <f t="shared" si="0"/>
        <v>-61.755190537859058</v>
      </c>
      <c r="R20">
        <f t="shared" si="1"/>
        <v>0</v>
      </c>
      <c r="S20">
        <f t="shared" si="2"/>
        <v>25.072941176470611</v>
      </c>
      <c r="T20">
        <f t="shared" si="3"/>
        <v>9.6790316418613534E-3</v>
      </c>
      <c r="U20">
        <f t="shared" si="4"/>
        <v>0</v>
      </c>
      <c r="V20">
        <f t="shared" si="5"/>
        <v>0.35997972549019663</v>
      </c>
      <c r="W20">
        <f t="shared" si="6"/>
        <v>0.36965875713205798</v>
      </c>
      <c r="X20">
        <f t="shared" si="7"/>
        <v>-6380.3067107220504</v>
      </c>
      <c r="Y20" t="e">
        <f t="shared" si="8"/>
        <v>#DIV/0!</v>
      </c>
      <c r="Z20">
        <f t="shared" si="9"/>
        <v>69.650981433268043</v>
      </c>
      <c r="AA20">
        <f t="shared" si="10"/>
        <v>1.7337577726327247</v>
      </c>
    </row>
    <row r="21" spans="1:27" x14ac:dyDescent="0.3">
      <c r="A21">
        <v>1.1555553333333299</v>
      </c>
      <c r="B21">
        <v>1.393162</v>
      </c>
      <c r="C21">
        <v>1.1623928666666701</v>
      </c>
      <c r="D21">
        <v>0.82066666666666699</v>
      </c>
      <c r="E21">
        <v>-7.4666666666666701E-2</v>
      </c>
      <c r="F21">
        <v>4.3920000000000003</v>
      </c>
      <c r="G21">
        <v>2.37629853333333E-3</v>
      </c>
      <c r="H21">
        <v>-1.7366532E-2</v>
      </c>
      <c r="I21">
        <v>-1.8717444533333301E-2</v>
      </c>
      <c r="J21">
        <v>82.8</v>
      </c>
      <c r="K21">
        <v>-239.4</v>
      </c>
      <c r="L21">
        <v>93.6</v>
      </c>
      <c r="M21">
        <v>1830</v>
      </c>
      <c r="N21">
        <v>-5421</v>
      </c>
      <c r="O21">
        <v>1938</v>
      </c>
      <c r="P21">
        <v>4</v>
      </c>
      <c r="Q21">
        <f t="shared" si="0"/>
        <v>25.152374479482155</v>
      </c>
      <c r="R21">
        <f t="shared" si="1"/>
        <v>0.1707522525958014</v>
      </c>
      <c r="S21">
        <f t="shared" si="2"/>
        <v>9.984</v>
      </c>
      <c r="T21">
        <f t="shared" si="3"/>
        <v>8.7756523175612153E-3</v>
      </c>
      <c r="U21">
        <f t="shared" si="4"/>
        <v>-0.90994649876687395</v>
      </c>
      <c r="V21">
        <f t="shared" si="5"/>
        <v>0.38746428888889001</v>
      </c>
      <c r="W21">
        <f t="shared" si="6"/>
        <v>-0.51370655756042272</v>
      </c>
      <c r="X21">
        <f t="shared" si="7"/>
        <v>2866.1543973373923</v>
      </c>
      <c r="Y21">
        <f t="shared" si="8"/>
        <v>-0.18765087049315379</v>
      </c>
      <c r="Z21">
        <f t="shared" si="9"/>
        <v>25.767535967328929</v>
      </c>
      <c r="AA21">
        <f t="shared" si="10"/>
        <v>11.335238177935564</v>
      </c>
    </row>
    <row r="22" spans="1:27" x14ac:dyDescent="0.3">
      <c r="A22">
        <v>1.1659128823529401</v>
      </c>
      <c r="B22">
        <v>1.5233782352941201</v>
      </c>
      <c r="C22">
        <v>1.0196075294117599</v>
      </c>
      <c r="D22">
        <v>0.83647058823529397</v>
      </c>
      <c r="E22">
        <v>0.25882352941176501</v>
      </c>
      <c r="F22">
        <v>-0.77235294176470604</v>
      </c>
      <c r="G22">
        <v>5.1269664705882404E-3</v>
      </c>
      <c r="H22">
        <v>3.1048960588235301E-2</v>
      </c>
      <c r="I22">
        <v>5.7301335294117697E-3</v>
      </c>
      <c r="J22">
        <v>-34.941176470588204</v>
      </c>
      <c r="K22">
        <v>-239.82352941176501</v>
      </c>
      <c r="L22">
        <v>414.52941176470603</v>
      </c>
      <c r="M22">
        <v>-638</v>
      </c>
      <c r="N22">
        <v>-4733</v>
      </c>
      <c r="O22">
        <v>7931</v>
      </c>
      <c r="P22">
        <v>4</v>
      </c>
      <c r="Q22">
        <f t="shared" si="0"/>
        <v>-10.614173373694506</v>
      </c>
      <c r="R22">
        <f t="shared" si="1"/>
        <v>0.17105433530716085</v>
      </c>
      <c r="S22">
        <f t="shared" si="2"/>
        <v>44.21647058823531</v>
      </c>
      <c r="T22">
        <f t="shared" si="3"/>
        <v>8.8543108174497492E-3</v>
      </c>
      <c r="U22">
        <f t="shared" si="4"/>
        <v>-0.99499748880858341</v>
      </c>
      <c r="V22">
        <f t="shared" si="5"/>
        <v>0.33986917647058662</v>
      </c>
      <c r="W22">
        <f t="shared" si="6"/>
        <v>-0.64627400152054704</v>
      </c>
      <c r="X22">
        <f t="shared" si="7"/>
        <v>-1198.7577116421623</v>
      </c>
      <c r="Y22">
        <f t="shared" si="8"/>
        <v>-0.17191433871052525</v>
      </c>
      <c r="Z22">
        <f t="shared" si="9"/>
        <v>130.09850156877039</v>
      </c>
      <c r="AA22">
        <f t="shared" si="10"/>
        <v>-2.2725007009617655</v>
      </c>
    </row>
    <row r="23" spans="1:27" x14ac:dyDescent="0.3">
      <c r="A23">
        <v>0.93910249999999995</v>
      </c>
      <c r="B23">
        <v>1.192307625</v>
      </c>
      <c r="C23">
        <v>1.0112179375000001</v>
      </c>
      <c r="D23">
        <v>-0.39874999999999999</v>
      </c>
      <c r="E23">
        <v>0.640625</v>
      </c>
      <c r="F23">
        <v>9.5443750000000005</v>
      </c>
      <c r="G23">
        <v>3.1585724999999999E-3</v>
      </c>
      <c r="H23">
        <v>-2.02941926875E-2</v>
      </c>
      <c r="I23">
        <v>-1.76086538125E-2</v>
      </c>
      <c r="J23">
        <v>104.625</v>
      </c>
      <c r="K23">
        <v>86.0625</v>
      </c>
      <c r="L23">
        <v>101.25</v>
      </c>
      <c r="M23">
        <v>1823</v>
      </c>
      <c r="N23">
        <v>1533</v>
      </c>
      <c r="O23">
        <v>1756</v>
      </c>
      <c r="P23">
        <v>4</v>
      </c>
      <c r="Q23">
        <f t="shared" si="0"/>
        <v>31.78221231782392</v>
      </c>
      <c r="R23">
        <f t="shared" si="1"/>
        <v>-6.1384150956667327E-2</v>
      </c>
      <c r="S23">
        <f t="shared" si="2"/>
        <v>10.8</v>
      </c>
      <c r="T23">
        <f t="shared" si="3"/>
        <v>7.1318411094860781E-3</v>
      </c>
      <c r="U23">
        <f t="shared" si="4"/>
        <v>-0.77875806892651167</v>
      </c>
      <c r="V23">
        <f t="shared" si="5"/>
        <v>0.33707264583333335</v>
      </c>
      <c r="W23">
        <f t="shared" si="6"/>
        <v>-0.43455358198369226</v>
      </c>
      <c r="X23">
        <f t="shared" si="7"/>
        <v>4456.3825567496624</v>
      </c>
      <c r="Y23">
        <f t="shared" si="8"/>
        <v>7.8823133147478061E-2</v>
      </c>
      <c r="Z23">
        <f t="shared" si="9"/>
        <v>32.040570878421548</v>
      </c>
      <c r="AA23">
        <f t="shared" si="10"/>
        <v>28.315483673864321</v>
      </c>
    </row>
    <row r="24" spans="1:27" x14ac:dyDescent="0.3">
      <c r="A24">
        <v>0.72649600000000003</v>
      </c>
      <c r="B24">
        <v>1.04957266666667</v>
      </c>
      <c r="C24">
        <v>0.84102580000000005</v>
      </c>
      <c r="D24">
        <v>0.28866666666666702</v>
      </c>
      <c r="E24">
        <v>-1.61866666666667</v>
      </c>
      <c r="F24">
        <v>30.2746666666667</v>
      </c>
      <c r="G24">
        <v>-5.9244841333333303E-3</v>
      </c>
      <c r="H24">
        <v>2.1809913333333299E-3</v>
      </c>
      <c r="I24">
        <v>-7.3730532000000001E-3</v>
      </c>
      <c r="J24">
        <v>304.2</v>
      </c>
      <c r="K24">
        <v>286.2</v>
      </c>
      <c r="L24">
        <v>313.2</v>
      </c>
      <c r="M24">
        <v>4964</v>
      </c>
      <c r="N24">
        <v>4617</v>
      </c>
      <c r="O24">
        <v>4890</v>
      </c>
      <c r="P24">
        <v>4</v>
      </c>
      <c r="Q24">
        <f t="shared" si="0"/>
        <v>92.407636674619212</v>
      </c>
      <c r="R24">
        <f t="shared" si="1"/>
        <v>-0.20413239220099566</v>
      </c>
      <c r="S24">
        <f t="shared" si="2"/>
        <v>33.408000000000001</v>
      </c>
      <c r="T24">
        <f t="shared" si="3"/>
        <v>5.5172401720549116E-3</v>
      </c>
      <c r="U24">
        <f t="shared" si="4"/>
        <v>-0.68553045032433246</v>
      </c>
      <c r="V24">
        <f t="shared" si="5"/>
        <v>0.28034193333333335</v>
      </c>
      <c r="W24">
        <f t="shared" si="6"/>
        <v>-0.39967127681894421</v>
      </c>
      <c r="X24">
        <f t="shared" si="7"/>
        <v>16748.88781218341</v>
      </c>
      <c r="Y24">
        <f t="shared" si="8"/>
        <v>0.29777290287312291</v>
      </c>
      <c r="Z24">
        <f t="shared" si="9"/>
        <v>119.16875796200307</v>
      </c>
      <c r="AA24">
        <f t="shared" si="10"/>
        <v>107.99193080640343</v>
      </c>
    </row>
    <row r="25" spans="1:27" x14ac:dyDescent="0.3">
      <c r="A25">
        <v>0.73626400000000003</v>
      </c>
      <c r="B25">
        <v>1.122711</v>
      </c>
      <c r="C25">
        <v>0.82967028571428603</v>
      </c>
      <c r="D25">
        <v>-0.46142857142857102</v>
      </c>
      <c r="E25">
        <v>-3.4550000000000001</v>
      </c>
      <c r="F25">
        <v>69.094285714285704</v>
      </c>
      <c r="G25">
        <v>-1.4003216142857201E-2</v>
      </c>
      <c r="H25">
        <v>2.20598785714286E-2</v>
      </c>
      <c r="I25">
        <v>-1.12652757142857E-2</v>
      </c>
      <c r="J25">
        <v>696.21428571428601</v>
      </c>
      <c r="K25">
        <v>663.42857142857099</v>
      </c>
      <c r="L25">
        <v>707.78571428571399</v>
      </c>
      <c r="M25">
        <v>10550</v>
      </c>
      <c r="N25">
        <v>10095</v>
      </c>
      <c r="O25">
        <v>10502</v>
      </c>
      <c r="P25">
        <v>4</v>
      </c>
      <c r="Q25">
        <f t="shared" si="0"/>
        <v>211.4908506310496</v>
      </c>
      <c r="R25">
        <f t="shared" si="1"/>
        <v>-0.47319099000769854</v>
      </c>
      <c r="S25">
        <f t="shared" si="2"/>
        <v>75.497142857142819</v>
      </c>
      <c r="T25">
        <f t="shared" si="3"/>
        <v>5.5914214504110661E-3</v>
      </c>
      <c r="U25">
        <f t="shared" si="4"/>
        <v>-0.73330089650525632</v>
      </c>
      <c r="V25">
        <f t="shared" si="5"/>
        <v>0.27655676190476203</v>
      </c>
      <c r="W25">
        <f t="shared" si="6"/>
        <v>-0.45115271315008326</v>
      </c>
      <c r="X25">
        <f t="shared" si="7"/>
        <v>37824.165555522799</v>
      </c>
      <c r="Y25">
        <f t="shared" si="8"/>
        <v>0.64528898336660723</v>
      </c>
      <c r="Z25">
        <f t="shared" si="9"/>
        <v>272.98968333720148</v>
      </c>
      <c r="AA25">
        <f t="shared" si="10"/>
        <v>249.83762913047028</v>
      </c>
    </row>
    <row r="26" spans="1:27" x14ac:dyDescent="0.3">
      <c r="A26">
        <v>0.79487166666666698</v>
      </c>
      <c r="B26">
        <v>1.7094006666666699E-2</v>
      </c>
      <c r="C26">
        <v>0.72649600000000003</v>
      </c>
      <c r="D26">
        <v>0.64</v>
      </c>
      <c r="E26">
        <v>5.4666666666666697E-2</v>
      </c>
      <c r="F26">
        <v>0.52</v>
      </c>
      <c r="G26">
        <v>3.4993454000000002E-3</v>
      </c>
      <c r="H26">
        <v>9.7167946666666706E-3</v>
      </c>
      <c r="I26">
        <v>8.1379399999999898E-4</v>
      </c>
      <c r="J26">
        <v>-250.2</v>
      </c>
      <c r="K26">
        <v>0</v>
      </c>
      <c r="L26">
        <v>261</v>
      </c>
      <c r="M26">
        <v>-4057</v>
      </c>
      <c r="N26">
        <v>6</v>
      </c>
      <c r="O26">
        <v>4163</v>
      </c>
      <c r="P26">
        <v>5</v>
      </c>
      <c r="Q26">
        <f t="shared" si="0"/>
        <v>-76.003914188000422</v>
      </c>
      <c r="R26">
        <f t="shared" si="1"/>
        <v>0</v>
      </c>
      <c r="S26">
        <f t="shared" si="2"/>
        <v>27.84</v>
      </c>
      <c r="T26">
        <f t="shared" si="3"/>
        <v>6.0365065891093365E-3</v>
      </c>
      <c r="U26">
        <f t="shared" si="4"/>
        <v>-1.1164984055142879E-2</v>
      </c>
      <c r="V26">
        <f t="shared" si="5"/>
        <v>0.24216533333333334</v>
      </c>
      <c r="W26">
        <f t="shared" si="6"/>
        <v>0.23703685586729981</v>
      </c>
      <c r="X26">
        <f t="shared" si="7"/>
        <v>-12590.711708179302</v>
      </c>
      <c r="Y26">
        <f t="shared" si="8"/>
        <v>0</v>
      </c>
      <c r="Z26">
        <f t="shared" si="9"/>
        <v>114.96278024930625</v>
      </c>
      <c r="AA26">
        <f t="shared" si="10"/>
        <v>2.1472933092542834</v>
      </c>
    </row>
    <row r="27" spans="1:27" x14ac:dyDescent="0.3">
      <c r="A27">
        <v>0.44615379999999999</v>
      </c>
      <c r="B27">
        <v>0.769231</v>
      </c>
      <c r="C27">
        <v>0.46324786666666701</v>
      </c>
      <c r="D27">
        <v>0.67866666666666697</v>
      </c>
      <c r="E27">
        <v>6.2666673333333298E-2</v>
      </c>
      <c r="F27">
        <v>-0.30133333333333301</v>
      </c>
      <c r="G27">
        <v>5.6315193333333303E-3</v>
      </c>
      <c r="H27">
        <v>2.0947265266666699E-2</v>
      </c>
      <c r="I27">
        <v>6.6894546000000003E-3</v>
      </c>
      <c r="J27">
        <v>144</v>
      </c>
      <c r="K27">
        <v>-307.8</v>
      </c>
      <c r="L27">
        <v>154.80000000000001</v>
      </c>
      <c r="M27">
        <v>2382</v>
      </c>
      <c r="N27">
        <v>-5078</v>
      </c>
      <c r="O27">
        <v>2424</v>
      </c>
      <c r="P27">
        <v>5</v>
      </c>
      <c r="Q27">
        <f t="shared" si="0"/>
        <v>43.743259964316792</v>
      </c>
      <c r="R27">
        <f t="shared" si="1"/>
        <v>0.21953861048031609</v>
      </c>
      <c r="S27">
        <f t="shared" si="2"/>
        <v>16.512</v>
      </c>
      <c r="T27">
        <f t="shared" si="3"/>
        <v>3.3882329266437155E-3</v>
      </c>
      <c r="U27">
        <f t="shared" si="4"/>
        <v>-0.50242473968780454</v>
      </c>
      <c r="V27">
        <f t="shared" si="5"/>
        <v>0.15441595555555568</v>
      </c>
      <c r="W27">
        <f t="shared" si="6"/>
        <v>-0.3446205512056052</v>
      </c>
      <c r="X27">
        <f t="shared" si="7"/>
        <v>12910.346163139258</v>
      </c>
      <c r="Y27">
        <f t="shared" si="8"/>
        <v>-0.4369582011760258</v>
      </c>
      <c r="Z27">
        <f t="shared" si="9"/>
        <v>106.9319549303914</v>
      </c>
      <c r="AA27">
        <f t="shared" si="10"/>
        <v>-1.9514390999893756</v>
      </c>
    </row>
    <row r="28" spans="1:27" x14ac:dyDescent="0.3">
      <c r="A28">
        <v>0.30128175624999998</v>
      </c>
      <c r="B28">
        <v>0.63942331249999995</v>
      </c>
      <c r="C28">
        <v>0.83653862499999998</v>
      </c>
      <c r="D28">
        <v>8.3699999999999992</v>
      </c>
      <c r="E28">
        <v>1.899375</v>
      </c>
      <c r="F28">
        <v>0.455625</v>
      </c>
      <c r="G28">
        <v>2.4772647500000002E-2</v>
      </c>
      <c r="H28">
        <v>-1.9989043749999999E-3</v>
      </c>
      <c r="I28">
        <v>3.2485973187500003E-2</v>
      </c>
      <c r="J28">
        <v>-111.375</v>
      </c>
      <c r="K28">
        <v>-318.9375</v>
      </c>
      <c r="L28">
        <v>433.6875</v>
      </c>
      <c r="M28">
        <v>-1895</v>
      </c>
      <c r="N28">
        <v>-5607</v>
      </c>
      <c r="O28">
        <v>7665</v>
      </c>
      <c r="P28">
        <v>5</v>
      </c>
      <c r="Q28">
        <f t="shared" si="0"/>
        <v>-33.832677628651268</v>
      </c>
      <c r="R28">
        <f t="shared" si="1"/>
        <v>0.22748244178059068</v>
      </c>
      <c r="S28">
        <f t="shared" si="2"/>
        <v>46.26</v>
      </c>
      <c r="T28">
        <f t="shared" si="3"/>
        <v>2.2880288517620963E-3</v>
      </c>
      <c r="U28">
        <f t="shared" si="4"/>
        <v>-0.417640593440886</v>
      </c>
      <c r="V28">
        <f t="shared" si="5"/>
        <v>0.27884620833333335</v>
      </c>
      <c r="W28">
        <f t="shared" si="6"/>
        <v>-0.13650635625579055</v>
      </c>
      <c r="X28">
        <f t="shared" si="7"/>
        <v>-14786.822990713365</v>
      </c>
      <c r="Y28">
        <f t="shared" si="8"/>
        <v>-0.54468470104017597</v>
      </c>
      <c r="Z28">
        <f t="shared" si="9"/>
        <v>165.89789861765198</v>
      </c>
      <c r="AA28">
        <f t="shared" si="10"/>
        <v>1.6339651979608234</v>
      </c>
    </row>
    <row r="29" spans="1:27" x14ac:dyDescent="0.3">
      <c r="A29">
        <v>0.36410239999999999</v>
      </c>
      <c r="B29">
        <v>0.264957</v>
      </c>
      <c r="C29">
        <v>0.36752113333333303</v>
      </c>
      <c r="D29">
        <v>0.76</v>
      </c>
      <c r="E29">
        <v>-0.61133333333333295</v>
      </c>
      <c r="F29">
        <v>16.944666666666699</v>
      </c>
      <c r="G29">
        <v>3.1738386666666698E-3</v>
      </c>
      <c r="H29">
        <v>-3.0761733333333299E-3</v>
      </c>
      <c r="I29">
        <v>1.0579432666666701E-3</v>
      </c>
      <c r="J29">
        <v>162</v>
      </c>
      <c r="K29">
        <v>163.80000000000001</v>
      </c>
      <c r="L29">
        <v>162</v>
      </c>
      <c r="M29">
        <v>2423</v>
      </c>
      <c r="N29">
        <v>2552</v>
      </c>
      <c r="O29">
        <v>2462</v>
      </c>
      <c r="P29">
        <v>5</v>
      </c>
      <c r="Q29">
        <f t="shared" si="0"/>
        <v>49.211167459856391</v>
      </c>
      <c r="R29">
        <f t="shared" si="1"/>
        <v>-0.11683048861817992</v>
      </c>
      <c r="S29">
        <f t="shared" si="2"/>
        <v>17.28</v>
      </c>
      <c r="T29">
        <f t="shared" si="3"/>
        <v>2.7651086695888293E-3</v>
      </c>
      <c r="U29">
        <f t="shared" si="4"/>
        <v>-0.17305718536234452</v>
      </c>
      <c r="V29">
        <f t="shared" si="5"/>
        <v>0.12250704444444434</v>
      </c>
      <c r="W29">
        <f t="shared" si="6"/>
        <v>-4.7785032248311363E-2</v>
      </c>
      <c r="X29">
        <f t="shared" si="7"/>
        <v>17797.191119860789</v>
      </c>
      <c r="Y29">
        <f t="shared" si="8"/>
        <v>0.67509758912097184</v>
      </c>
      <c r="Z29">
        <f t="shared" si="9"/>
        <v>141.05311313616988</v>
      </c>
      <c r="AA29">
        <f t="shared" si="10"/>
        <v>138.31585557801068</v>
      </c>
    </row>
    <row r="30" spans="1:27" x14ac:dyDescent="0.3">
      <c r="A30">
        <v>0.40854694000000003</v>
      </c>
      <c r="B30">
        <v>0.33162360000000002</v>
      </c>
      <c r="C30">
        <v>0.31452973333333301</v>
      </c>
      <c r="D30">
        <v>0.34666666666666701</v>
      </c>
      <c r="E30">
        <v>-1.8926666666666701</v>
      </c>
      <c r="F30">
        <v>36.877333333333297</v>
      </c>
      <c r="G30">
        <v>-4.9967406666666702E-3</v>
      </c>
      <c r="H30">
        <v>-1.01562653333333E-2</v>
      </c>
      <c r="I30">
        <v>-1.53808522666667E-2</v>
      </c>
      <c r="J30">
        <v>342</v>
      </c>
      <c r="K30">
        <v>342</v>
      </c>
      <c r="L30">
        <v>356.4</v>
      </c>
      <c r="M30">
        <v>5924</v>
      </c>
      <c r="N30">
        <v>6028</v>
      </c>
      <c r="O30">
        <v>6043</v>
      </c>
      <c r="P30">
        <v>5</v>
      </c>
      <c r="Q30">
        <f t="shared" si="0"/>
        <v>103.89024241525237</v>
      </c>
      <c r="R30">
        <f t="shared" si="1"/>
        <v>-0.24393178942257343</v>
      </c>
      <c r="S30">
        <f t="shared" si="2"/>
        <v>38.015999999999998</v>
      </c>
      <c r="T30">
        <f t="shared" si="3"/>
        <v>3.1026345493135651E-3</v>
      </c>
      <c r="U30">
        <f t="shared" si="4"/>
        <v>-0.21660060619545057</v>
      </c>
      <c r="V30">
        <f t="shared" si="5"/>
        <v>0.10484324444444433</v>
      </c>
      <c r="W30">
        <f t="shared" si="6"/>
        <v>-0.10865472720169268</v>
      </c>
      <c r="X30">
        <f t="shared" si="7"/>
        <v>33484.524446566655</v>
      </c>
      <c r="Y30">
        <f t="shared" si="8"/>
        <v>1.1261823949027199</v>
      </c>
      <c r="Z30">
        <f t="shared" si="9"/>
        <v>362.59846975781448</v>
      </c>
      <c r="AA30">
        <f t="shared" si="10"/>
        <v>351.73781132721746</v>
      </c>
    </row>
    <row r="31" spans="1:27" x14ac:dyDescent="0.3">
      <c r="A31">
        <v>0.38119646666666701</v>
      </c>
      <c r="B31">
        <v>0.32307673999999997</v>
      </c>
      <c r="C31">
        <v>0.34529901333333302</v>
      </c>
      <c r="D31">
        <v>-0.43133333333333301</v>
      </c>
      <c r="E31">
        <v>-4.5060000000000002</v>
      </c>
      <c r="F31">
        <v>82.481999999999999</v>
      </c>
      <c r="G31">
        <v>3.54817941333333E-2</v>
      </c>
      <c r="H31">
        <v>-2.4527931999999999E-2</v>
      </c>
      <c r="I31">
        <v>-8.6751466666666697E-3</v>
      </c>
      <c r="J31">
        <v>750.6</v>
      </c>
      <c r="K31">
        <v>732.6</v>
      </c>
      <c r="L31">
        <v>756</v>
      </c>
      <c r="M31">
        <v>12936</v>
      </c>
      <c r="N31">
        <v>12989</v>
      </c>
      <c r="O31">
        <v>12954</v>
      </c>
      <c r="P31">
        <v>5</v>
      </c>
      <c r="Q31">
        <f t="shared" si="0"/>
        <v>228.01174256400128</v>
      </c>
      <c r="R31">
        <f t="shared" si="1"/>
        <v>-0.52252756997361782</v>
      </c>
      <c r="S31">
        <f t="shared" si="2"/>
        <v>80.64</v>
      </c>
      <c r="T31">
        <f t="shared" si="3"/>
        <v>2.8949264129998326E-3</v>
      </c>
      <c r="U31">
        <f t="shared" si="4"/>
        <v>-0.21101820778632752</v>
      </c>
      <c r="V31">
        <f t="shared" si="5"/>
        <v>0.11509967111111101</v>
      </c>
      <c r="W31">
        <f t="shared" si="6"/>
        <v>-9.3023610262216685E-2</v>
      </c>
      <c r="X31">
        <f t="shared" si="7"/>
        <v>78762.53487484224</v>
      </c>
      <c r="Y31">
        <f t="shared" si="8"/>
        <v>2.476220300869572</v>
      </c>
      <c r="Z31">
        <f t="shared" si="9"/>
        <v>700.61016874804534</v>
      </c>
      <c r="AA31">
        <f t="shared" si="10"/>
        <v>716.61368971572756</v>
      </c>
    </row>
    <row r="32" spans="1:27" x14ac:dyDescent="0.3">
      <c r="A32">
        <v>5.7315199999999997E-2</v>
      </c>
      <c r="B32">
        <v>0</v>
      </c>
      <c r="C32">
        <v>6.3348364705882398E-2</v>
      </c>
      <c r="D32">
        <v>0.748823529411765</v>
      </c>
      <c r="E32">
        <v>0.14117647058823499</v>
      </c>
      <c r="F32">
        <v>0.47117647058823497</v>
      </c>
      <c r="G32">
        <v>2.0392936470588201E-2</v>
      </c>
      <c r="H32">
        <v>-7.7406940000000002E-3</v>
      </c>
      <c r="I32">
        <v>2.6855429411764701E-3</v>
      </c>
      <c r="J32">
        <v>3.1764705882352899</v>
      </c>
      <c r="K32">
        <v>0</v>
      </c>
      <c r="L32">
        <v>-3.1764705882352899</v>
      </c>
      <c r="M32">
        <v>90</v>
      </c>
      <c r="N32">
        <v>0</v>
      </c>
      <c r="O32">
        <v>-80</v>
      </c>
      <c r="P32">
        <v>1</v>
      </c>
      <c r="Q32">
        <f t="shared" si="0"/>
        <v>0.96492485215404555</v>
      </c>
      <c r="R32">
        <f t="shared" si="1"/>
        <v>0</v>
      </c>
      <c r="S32">
        <f t="shared" si="2"/>
        <v>-0.33882352941176425</v>
      </c>
      <c r="T32">
        <f t="shared" si="3"/>
        <v>4.3526973845604334E-4</v>
      </c>
      <c r="U32">
        <f t="shared" si="4"/>
        <v>0</v>
      </c>
      <c r="V32">
        <f t="shared" si="5"/>
        <v>2.1116121568627466E-2</v>
      </c>
      <c r="W32">
        <f t="shared" si="6"/>
        <v>2.1551391307083511E-2</v>
      </c>
      <c r="X32">
        <f t="shared" si="7"/>
        <v>2216.8434120340085</v>
      </c>
      <c r="Y32" t="e">
        <f t="shared" si="8"/>
        <v>#DIV/0!</v>
      </c>
      <c r="Z32">
        <f t="shared" si="9"/>
        <v>-16.04572735152081</v>
      </c>
      <c r="AA32">
        <f t="shared" si="10"/>
        <v>22.31358959820864</v>
      </c>
    </row>
    <row r="33" spans="1:27" x14ac:dyDescent="0.3">
      <c r="A33">
        <v>0.26244318235294101</v>
      </c>
      <c r="B33">
        <v>0.71794899999999995</v>
      </c>
      <c r="C33">
        <v>0.95625982352941197</v>
      </c>
      <c r="D33">
        <v>0.94</v>
      </c>
      <c r="E33">
        <v>0.77294117647058802</v>
      </c>
      <c r="F33">
        <v>-3.5088235294117598</v>
      </c>
      <c r="G33">
        <v>8.53056235294118E-3</v>
      </c>
      <c r="H33">
        <v>-1.20634270588235E-2</v>
      </c>
      <c r="I33">
        <v>-1.0081570588235301E-2</v>
      </c>
      <c r="J33">
        <v>-114.35294117647101</v>
      </c>
      <c r="K33">
        <v>-331.941176470588</v>
      </c>
      <c r="L33">
        <v>457.41176470588198</v>
      </c>
      <c r="M33">
        <v>-2221</v>
      </c>
      <c r="N33">
        <v>-6295</v>
      </c>
      <c r="O33">
        <v>8693</v>
      </c>
      <c r="P33">
        <v>1</v>
      </c>
      <c r="Q33">
        <f t="shared" si="0"/>
        <v>-34.737294677545812</v>
      </c>
      <c r="R33">
        <f t="shared" si="1"/>
        <v>0.2367573250277917</v>
      </c>
      <c r="S33">
        <f t="shared" si="2"/>
        <v>48.790588235294081</v>
      </c>
      <c r="T33">
        <f t="shared" si="3"/>
        <v>1.9930764499179331E-3</v>
      </c>
      <c r="U33">
        <f t="shared" si="4"/>
        <v>-0.46892980058541528</v>
      </c>
      <c r="V33">
        <f t="shared" si="5"/>
        <v>0.31875327450980401</v>
      </c>
      <c r="W33">
        <f t="shared" si="6"/>
        <v>-0.14818344962569335</v>
      </c>
      <c r="X33">
        <f t="shared" si="7"/>
        <v>-17428.982555574399</v>
      </c>
      <c r="Y33">
        <f t="shared" si="8"/>
        <v>-0.50488863094693959</v>
      </c>
      <c r="Z33">
        <f t="shared" si="9"/>
        <v>153.06693965835137</v>
      </c>
      <c r="AA33">
        <f t="shared" si="10"/>
        <v>-11.007960733290718</v>
      </c>
    </row>
    <row r="34" spans="1:27" x14ac:dyDescent="0.3">
      <c r="A34">
        <v>0.42406284615384598</v>
      </c>
      <c r="B34">
        <v>0.49901376923076901</v>
      </c>
      <c r="C34">
        <v>0.42209053846153799</v>
      </c>
      <c r="D34">
        <v>0.92153846153846097</v>
      </c>
      <c r="E34">
        <v>-1.60230769230769</v>
      </c>
      <c r="F34">
        <v>17.1653846153846</v>
      </c>
      <c r="G34">
        <v>-1.22633776923077E-2</v>
      </c>
      <c r="H34">
        <v>-1.6263516846153799E-2</v>
      </c>
      <c r="I34">
        <v>1.87796153846154E-4</v>
      </c>
      <c r="J34">
        <v>155.769230769231</v>
      </c>
      <c r="K34">
        <v>157.84615384615401</v>
      </c>
      <c r="L34">
        <v>157.84615384615401</v>
      </c>
      <c r="M34">
        <v>2208</v>
      </c>
      <c r="N34">
        <v>2188</v>
      </c>
      <c r="O34">
        <v>2230</v>
      </c>
      <c r="P34">
        <v>1</v>
      </c>
      <c r="Q34">
        <f t="shared" si="0"/>
        <v>47.318430249861983</v>
      </c>
      <c r="R34">
        <f t="shared" si="1"/>
        <v>-0.11258390281041862</v>
      </c>
      <c r="S34">
        <f t="shared" si="2"/>
        <v>16.836923076923096</v>
      </c>
      <c r="T34">
        <f t="shared" si="3"/>
        <v>3.2204672431450977E-3</v>
      </c>
      <c r="U34">
        <f t="shared" si="4"/>
        <v>-0.32593182425877182</v>
      </c>
      <c r="V34">
        <f t="shared" si="5"/>
        <v>0.14069684615384601</v>
      </c>
      <c r="W34">
        <f t="shared" si="6"/>
        <v>-0.18201451086178069</v>
      </c>
      <c r="X34">
        <f t="shared" si="7"/>
        <v>14693.032618351044</v>
      </c>
      <c r="Y34">
        <f t="shared" si="8"/>
        <v>0.3454216324731556</v>
      </c>
      <c r="Z34">
        <f t="shared" si="9"/>
        <v>119.66809162525675</v>
      </c>
      <c r="AA34">
        <f t="shared" si="10"/>
        <v>122.0026253937134</v>
      </c>
    </row>
    <row r="35" spans="1:27" x14ac:dyDescent="0.3">
      <c r="A35">
        <v>0.282051</v>
      </c>
      <c r="B35">
        <v>0.494017066666667</v>
      </c>
      <c r="C35">
        <v>0.36410233333333297</v>
      </c>
      <c r="D35">
        <v>0.14599999999999999</v>
      </c>
      <c r="E35">
        <v>-1.2446666666666699</v>
      </c>
      <c r="F35">
        <v>35.496000000000002</v>
      </c>
      <c r="G35">
        <v>9.3099066666666695E-3</v>
      </c>
      <c r="H35">
        <v>-2.978498E-3</v>
      </c>
      <c r="I35">
        <v>2.2460917999999998E-3</v>
      </c>
      <c r="J35">
        <v>354.6</v>
      </c>
      <c r="K35">
        <v>345.6</v>
      </c>
      <c r="L35">
        <v>354.6</v>
      </c>
      <c r="M35">
        <v>5788</v>
      </c>
      <c r="N35">
        <v>5636</v>
      </c>
      <c r="O35">
        <v>5721</v>
      </c>
      <c r="P35">
        <v>1</v>
      </c>
      <c r="Q35">
        <f t="shared" si="0"/>
        <v>107.71777766213012</v>
      </c>
      <c r="R35">
        <f t="shared" si="1"/>
        <v>-0.24649949246912686</v>
      </c>
      <c r="S35">
        <f t="shared" si="2"/>
        <v>37.823999999999998</v>
      </c>
      <c r="T35">
        <f t="shared" si="3"/>
        <v>2.1419844125339436E-3</v>
      </c>
      <c r="U35">
        <f t="shared" si="4"/>
        <v>-0.32266821815726743</v>
      </c>
      <c r="V35">
        <f t="shared" si="5"/>
        <v>0.12136744444444432</v>
      </c>
      <c r="W35">
        <f t="shared" si="6"/>
        <v>-0.19915878930028919</v>
      </c>
      <c r="X35">
        <f t="shared" si="7"/>
        <v>50288.777561504845</v>
      </c>
      <c r="Y35">
        <f t="shared" si="8"/>
        <v>0.76394103477828057</v>
      </c>
      <c r="Z35">
        <f t="shared" si="9"/>
        <v>311.64864822801678</v>
      </c>
      <c r="AA35">
        <f t="shared" si="10"/>
        <v>292.46722762007414</v>
      </c>
    </row>
    <row r="36" spans="1:27" x14ac:dyDescent="0.3">
      <c r="A36">
        <v>0.39903824999999998</v>
      </c>
      <c r="B36">
        <v>0.37499987499999998</v>
      </c>
      <c r="C36">
        <v>0.346153875</v>
      </c>
      <c r="D36">
        <v>-0.28687499999999999</v>
      </c>
      <c r="E36">
        <v>-5.1918749999999996</v>
      </c>
      <c r="F36">
        <v>74.101249999999993</v>
      </c>
      <c r="G36">
        <v>-9.2772500000000008E-3</v>
      </c>
      <c r="H36">
        <v>-0.13278193562500001</v>
      </c>
      <c r="I36">
        <v>-9.6125625000000102E-4</v>
      </c>
      <c r="J36">
        <v>754.3125</v>
      </c>
      <c r="K36">
        <v>757.6875</v>
      </c>
      <c r="L36">
        <v>759.375</v>
      </c>
      <c r="M36">
        <v>13094</v>
      </c>
      <c r="N36">
        <v>13171</v>
      </c>
      <c r="O36">
        <v>13201</v>
      </c>
      <c r="P36">
        <v>1</v>
      </c>
      <c r="Q36">
        <f t="shared" si="0"/>
        <v>229.13949848495633</v>
      </c>
      <c r="R36">
        <f t="shared" si="1"/>
        <v>-0.54042125057928692</v>
      </c>
      <c r="S36">
        <f t="shared" si="2"/>
        <v>81</v>
      </c>
      <c r="T36">
        <f t="shared" si="3"/>
        <v>3.0304225530305615E-3</v>
      </c>
      <c r="U36">
        <f t="shared" si="4"/>
        <v>-0.24493190547421287</v>
      </c>
      <c r="V36">
        <f t="shared" si="5"/>
        <v>0.115384625</v>
      </c>
      <c r="W36">
        <f t="shared" si="6"/>
        <v>-0.12651685792118228</v>
      </c>
      <c r="X36">
        <f t="shared" si="7"/>
        <v>75613.052132220415</v>
      </c>
      <c r="Y36">
        <f t="shared" si="8"/>
        <v>2.2064142665814686</v>
      </c>
      <c r="Z36">
        <f t="shared" si="9"/>
        <v>701.99994150000487</v>
      </c>
      <c r="AA36">
        <f t="shared" si="10"/>
        <v>642.21077981576832</v>
      </c>
    </row>
    <row r="37" spans="1:27" x14ac:dyDescent="0.3">
      <c r="A37">
        <v>0.51965806666666703</v>
      </c>
      <c r="B37">
        <v>1.1965813333333301E-2</v>
      </c>
      <c r="C37">
        <v>0.34529886666666698</v>
      </c>
      <c r="D37">
        <v>0.39333333999999998</v>
      </c>
      <c r="E37">
        <v>0.34799999999999998</v>
      </c>
      <c r="F37">
        <v>0.58133333333333304</v>
      </c>
      <c r="G37">
        <v>1.1832687999999999E-2</v>
      </c>
      <c r="H37">
        <v>5.7128893333333302E-3</v>
      </c>
      <c r="I37">
        <v>7.3893240000000001E-3</v>
      </c>
      <c r="J37">
        <v>-284.39999999999998</v>
      </c>
      <c r="K37">
        <v>1.8</v>
      </c>
      <c r="L37">
        <v>300.60000000000002</v>
      </c>
      <c r="M37">
        <v>-4866</v>
      </c>
      <c r="N37">
        <v>2</v>
      </c>
      <c r="O37">
        <v>5073</v>
      </c>
      <c r="P37">
        <v>2</v>
      </c>
      <c r="Q37">
        <f t="shared" si="0"/>
        <v>-86.392938429525657</v>
      </c>
      <c r="R37">
        <f t="shared" si="1"/>
        <v>-1.2838515232767023E-3</v>
      </c>
      <c r="S37">
        <f t="shared" si="2"/>
        <v>32.064</v>
      </c>
      <c r="T37">
        <f t="shared" si="3"/>
        <v>3.9464475525615075E-3</v>
      </c>
      <c r="U37">
        <f t="shared" si="4"/>
        <v>-7.8154944992503486E-3</v>
      </c>
      <c r="V37">
        <f t="shared" si="5"/>
        <v>0.11509962222222232</v>
      </c>
      <c r="W37">
        <f t="shared" si="6"/>
        <v>0.11123057527553348</v>
      </c>
      <c r="X37">
        <f t="shared" si="7"/>
        <v>-21891.318021812018</v>
      </c>
      <c r="Y37">
        <f t="shared" si="8"/>
        <v>0.16427003094939771</v>
      </c>
      <c r="Z37">
        <f t="shared" si="9"/>
        <v>278.5760663757365</v>
      </c>
      <c r="AA37">
        <f t="shared" si="10"/>
        <v>5.0506971448694715</v>
      </c>
    </row>
    <row r="38" spans="1:27" x14ac:dyDescent="0.3">
      <c r="A38">
        <v>0.20833313125</v>
      </c>
      <c r="B38">
        <v>0.29807675625000002</v>
      </c>
      <c r="C38">
        <v>0.23717925625</v>
      </c>
      <c r="D38">
        <v>-0.23625000062500001</v>
      </c>
      <c r="E38">
        <v>0.45250000000000001</v>
      </c>
      <c r="F38">
        <v>-0.08</v>
      </c>
      <c r="G38">
        <v>-8.483871875E-3</v>
      </c>
      <c r="H38">
        <v>-1.8707271250000001E-2</v>
      </c>
      <c r="I38">
        <v>3.219595E-3</v>
      </c>
      <c r="J38">
        <v>175.5</v>
      </c>
      <c r="K38">
        <v>-352.6875</v>
      </c>
      <c r="L38">
        <v>180.5625</v>
      </c>
      <c r="M38">
        <v>3019</v>
      </c>
      <c r="N38">
        <v>-6236</v>
      </c>
      <c r="O38">
        <v>3039</v>
      </c>
      <c r="P38">
        <v>2</v>
      </c>
      <c r="Q38">
        <f t="shared" si="0"/>
        <v>53.312098081511088</v>
      </c>
      <c r="R38">
        <f t="shared" si="1"/>
        <v>0.25155465784202885</v>
      </c>
      <c r="S38">
        <f t="shared" si="2"/>
        <v>19.260000000000002</v>
      </c>
      <c r="T38">
        <f t="shared" si="3"/>
        <v>1.5821476249043196E-3</v>
      </c>
      <c r="U38">
        <f t="shared" si="4"/>
        <v>-0.1946894192588331</v>
      </c>
      <c r="V38">
        <f t="shared" si="5"/>
        <v>7.9059752083333337E-2</v>
      </c>
      <c r="W38">
        <f t="shared" si="6"/>
        <v>-0.11404751955059543</v>
      </c>
      <c r="X38">
        <f t="shared" si="7"/>
        <v>33696.032685151702</v>
      </c>
      <c r="Y38">
        <f t="shared" si="8"/>
        <v>-1.2920818131754521</v>
      </c>
      <c r="Z38">
        <f t="shared" si="9"/>
        <v>243.61321016664584</v>
      </c>
      <c r="AA38">
        <f t="shared" si="10"/>
        <v>-1.0118928771200242</v>
      </c>
    </row>
    <row r="39" spans="1:27" x14ac:dyDescent="0.3">
      <c r="A39">
        <v>0.19487160000000001</v>
      </c>
      <c r="B39">
        <v>0.23931601333333299</v>
      </c>
      <c r="C39">
        <v>0.26324760000000003</v>
      </c>
      <c r="D39">
        <v>0.266666666666667</v>
      </c>
      <c r="E39">
        <v>0.28533333333333299</v>
      </c>
      <c r="F39">
        <v>1.03933332666667</v>
      </c>
      <c r="G39">
        <v>4.7200446666666703E-3</v>
      </c>
      <c r="H39">
        <v>-1.33951812666667E-2</v>
      </c>
      <c r="I39">
        <v>-2.6204461333333299E-3</v>
      </c>
      <c r="J39">
        <v>-111.6</v>
      </c>
      <c r="K39">
        <v>-358.2</v>
      </c>
      <c r="L39">
        <v>493.2</v>
      </c>
      <c r="M39">
        <v>-1940</v>
      </c>
      <c r="N39">
        <v>-5849</v>
      </c>
      <c r="O39">
        <v>8011</v>
      </c>
      <c r="P39">
        <v>2</v>
      </c>
      <c r="Q39">
        <f t="shared" si="0"/>
        <v>-33.901026472345507</v>
      </c>
      <c r="R39">
        <f t="shared" si="1"/>
        <v>0.25548645313206375</v>
      </c>
      <c r="S39">
        <f t="shared" si="2"/>
        <v>52.607999999999997</v>
      </c>
      <c r="T39">
        <f t="shared" si="3"/>
        <v>1.4799165032052702E-3</v>
      </c>
      <c r="U39">
        <f t="shared" si="4"/>
        <v>-0.15630972451984254</v>
      </c>
      <c r="V39">
        <f t="shared" si="5"/>
        <v>8.7749200000000013E-2</v>
      </c>
      <c r="W39">
        <f t="shared" si="6"/>
        <v>-6.7080608016637247E-2</v>
      </c>
      <c r="X39">
        <f t="shared" si="7"/>
        <v>-22907.391328443955</v>
      </c>
      <c r="Y39">
        <f t="shared" si="8"/>
        <v>-1.6344885381691741</v>
      </c>
      <c r="Z39">
        <f t="shared" si="9"/>
        <v>599.52683329306694</v>
      </c>
      <c r="AA39">
        <f t="shared" si="10"/>
        <v>11.844362417739077</v>
      </c>
    </row>
    <row r="40" spans="1:27" x14ac:dyDescent="0.3">
      <c r="A40">
        <v>0.186324613333333</v>
      </c>
      <c r="B40">
        <v>0.230769006666667</v>
      </c>
      <c r="C40">
        <v>0.28034160666666702</v>
      </c>
      <c r="D40">
        <v>0.56399999999999995</v>
      </c>
      <c r="E40">
        <v>-0.88600000000000001</v>
      </c>
      <c r="F40">
        <v>18.670000000000002</v>
      </c>
      <c r="G40">
        <v>2.7018260000000001E-3</v>
      </c>
      <c r="H40">
        <v>9.3424612666666608E-3</v>
      </c>
      <c r="I40">
        <v>1.3834731333333299E-3</v>
      </c>
      <c r="J40">
        <v>174.6</v>
      </c>
      <c r="K40">
        <v>167.4</v>
      </c>
      <c r="L40">
        <v>167.4</v>
      </c>
      <c r="M40">
        <v>2970</v>
      </c>
      <c r="N40">
        <v>2928</v>
      </c>
      <c r="O40">
        <v>2859</v>
      </c>
      <c r="P40">
        <v>2</v>
      </c>
      <c r="Q40">
        <f t="shared" si="0"/>
        <v>53.038702706734107</v>
      </c>
      <c r="R40">
        <f t="shared" si="1"/>
        <v>-0.11939819166473331</v>
      </c>
      <c r="S40">
        <f t="shared" si="2"/>
        <v>17.856000000000002</v>
      </c>
      <c r="T40">
        <f t="shared" si="3"/>
        <v>1.4150079859011791E-3</v>
      </c>
      <c r="U40">
        <f t="shared" si="4"/>
        <v>-0.15072723031509833</v>
      </c>
      <c r="V40">
        <f t="shared" si="5"/>
        <v>9.3447202222222345E-2</v>
      </c>
      <c r="W40">
        <f t="shared" si="6"/>
        <v>-5.5865020106974791E-2</v>
      </c>
      <c r="X40">
        <f t="shared" si="7"/>
        <v>37482.970580519541</v>
      </c>
      <c r="Y40">
        <f t="shared" si="8"/>
        <v>0.79214745348354754</v>
      </c>
      <c r="Z40">
        <f t="shared" si="9"/>
        <v>191.08116214691478</v>
      </c>
      <c r="AA40">
        <f t="shared" si="10"/>
        <v>199.79196333349566</v>
      </c>
    </row>
    <row r="41" spans="1:27" x14ac:dyDescent="0.3">
      <c r="A41">
        <v>0.196581006666667</v>
      </c>
      <c r="B41">
        <v>0.18803409333333301</v>
      </c>
      <c r="C41">
        <v>0.25299127333333299</v>
      </c>
      <c r="D41">
        <v>1.8280000000000001</v>
      </c>
      <c r="E41">
        <v>-2.7559999999999998</v>
      </c>
      <c r="F41">
        <v>41.715333333333298</v>
      </c>
      <c r="G41">
        <v>1.7203817333333302E-2</v>
      </c>
      <c r="H41">
        <v>2.9068980000000001E-2</v>
      </c>
      <c r="I41">
        <v>-2.0393864000000001E-2</v>
      </c>
      <c r="J41">
        <v>369</v>
      </c>
      <c r="K41">
        <v>363.6</v>
      </c>
      <c r="L41">
        <v>367.2</v>
      </c>
      <c r="M41">
        <v>6267</v>
      </c>
      <c r="N41">
        <v>6335</v>
      </c>
      <c r="O41">
        <v>6270</v>
      </c>
      <c r="P41">
        <v>2</v>
      </c>
      <c r="Q41">
        <f t="shared" si="0"/>
        <v>112.09210365856178</v>
      </c>
      <c r="R41">
        <f t="shared" si="1"/>
        <v>-0.25933800770189386</v>
      </c>
      <c r="S41">
        <f t="shared" si="2"/>
        <v>39.167999999999999</v>
      </c>
      <c r="T41">
        <f t="shared" si="3"/>
        <v>1.4928982775463727E-3</v>
      </c>
      <c r="U41">
        <f t="shared" si="4"/>
        <v>-0.12281483766961054</v>
      </c>
      <c r="V41">
        <f t="shared" si="5"/>
        <v>8.433042444444433E-2</v>
      </c>
      <c r="W41">
        <f t="shared" si="6"/>
        <v>-3.6991514947619847E-2</v>
      </c>
      <c r="X41">
        <f t="shared" si="7"/>
        <v>75083.55079810851</v>
      </c>
      <c r="Y41">
        <f t="shared" si="8"/>
        <v>2.1116178844737812</v>
      </c>
      <c r="Z41">
        <f t="shared" si="9"/>
        <v>464.45870820682654</v>
      </c>
      <c r="AA41">
        <f t="shared" si="10"/>
        <v>494.66528371163076</v>
      </c>
    </row>
    <row r="42" spans="1:27" x14ac:dyDescent="0.3">
      <c r="A42">
        <v>0.31452974</v>
      </c>
      <c r="B42">
        <v>0.28546988000000001</v>
      </c>
      <c r="C42">
        <v>0.22905967333333299</v>
      </c>
      <c r="D42">
        <v>1.131333334</v>
      </c>
      <c r="E42">
        <v>-5.1613333333333298</v>
      </c>
      <c r="F42">
        <v>85.454666666666697</v>
      </c>
      <c r="G42">
        <v>-6.2402291999999998E-2</v>
      </c>
      <c r="H42">
        <v>-1.30372066666667E-2</v>
      </c>
      <c r="I42">
        <v>-4.0185553333333297E-2</v>
      </c>
      <c r="J42">
        <v>748.8</v>
      </c>
      <c r="K42">
        <v>772.2</v>
      </c>
      <c r="L42">
        <v>783</v>
      </c>
      <c r="M42">
        <v>12335</v>
      </c>
      <c r="N42">
        <v>12397</v>
      </c>
      <c r="O42">
        <v>12453</v>
      </c>
      <c r="P42">
        <v>2</v>
      </c>
      <c r="Q42">
        <f t="shared" si="0"/>
        <v>227.46495181444729</v>
      </c>
      <c r="R42">
        <f t="shared" si="1"/>
        <v>-0.55077230348570527</v>
      </c>
      <c r="S42">
        <f t="shared" si="2"/>
        <v>83.52</v>
      </c>
      <c r="T42">
        <f t="shared" si="3"/>
        <v>2.3886382262723908E-3</v>
      </c>
      <c r="U42">
        <f t="shared" si="4"/>
        <v>-0.1864552132554575</v>
      </c>
      <c r="V42">
        <f t="shared" si="5"/>
        <v>7.6353224444444326E-2</v>
      </c>
      <c r="W42">
        <f t="shared" si="6"/>
        <v>-0.10771335058474078</v>
      </c>
      <c r="X42">
        <f t="shared" si="7"/>
        <v>95227.878928078455</v>
      </c>
      <c r="Y42">
        <f t="shared" si="8"/>
        <v>2.95391206214817</v>
      </c>
      <c r="Z42">
        <f t="shared" si="9"/>
        <v>1093.8634302310352</v>
      </c>
      <c r="AA42">
        <f t="shared" si="10"/>
        <v>1119.2018056663044</v>
      </c>
    </row>
    <row r="43" spans="1:27" x14ac:dyDescent="0.3">
      <c r="A43">
        <v>0.89940830769230795</v>
      </c>
      <c r="B43">
        <v>0.14792892307692301</v>
      </c>
      <c r="C43">
        <v>0.81065084615384597</v>
      </c>
      <c r="D43">
        <v>0.70692307692307699</v>
      </c>
      <c r="E43">
        <v>-0.973846145384615</v>
      </c>
      <c r="F43">
        <v>3.2346153846153798</v>
      </c>
      <c r="G43">
        <v>2.25367692307693E-4</v>
      </c>
      <c r="H43">
        <v>-2.8395423076923099E-2</v>
      </c>
      <c r="I43">
        <v>-4.1316101538461502E-3</v>
      </c>
      <c r="J43">
        <v>-247.15384615384599</v>
      </c>
      <c r="K43">
        <v>16.615384615384599</v>
      </c>
      <c r="L43">
        <v>255.461538461538</v>
      </c>
      <c r="M43">
        <v>-5807</v>
      </c>
      <c r="N43">
        <v>334</v>
      </c>
      <c r="O43">
        <v>6014</v>
      </c>
      <c r="P43">
        <v>3</v>
      </c>
      <c r="Q43">
        <f t="shared" si="0"/>
        <v>-75.078575996447526</v>
      </c>
      <c r="R43">
        <f t="shared" si="1"/>
        <v>-1.1850937137938779E-2</v>
      </c>
      <c r="S43">
        <f t="shared" si="2"/>
        <v>27.249230769230721</v>
      </c>
      <c r="T43">
        <f t="shared" si="3"/>
        <v>6.8303908710852174E-3</v>
      </c>
      <c r="U43">
        <f t="shared" si="4"/>
        <v>-9.6620066883966349E-2</v>
      </c>
      <c r="V43">
        <f t="shared" si="5"/>
        <v>0.27021694871794866</v>
      </c>
      <c r="W43">
        <f t="shared" si="6"/>
        <v>0.18042727270506753</v>
      </c>
      <c r="X43">
        <f t="shared" si="7"/>
        <v>-10991.841816004153</v>
      </c>
      <c r="Y43">
        <f t="shared" si="8"/>
        <v>0.12265502933433993</v>
      </c>
      <c r="Z43">
        <f t="shared" si="9"/>
        <v>100.84204894813374</v>
      </c>
      <c r="AA43">
        <f t="shared" si="10"/>
        <v>11.970438567832613</v>
      </c>
    </row>
    <row r="44" spans="1:27" x14ac:dyDescent="0.3">
      <c r="A44">
        <v>0.25925900000000002</v>
      </c>
      <c r="B44">
        <v>0.61111138888888905</v>
      </c>
      <c r="C44">
        <v>0.30911650000000002</v>
      </c>
      <c r="D44">
        <v>0.42666666666666703</v>
      </c>
      <c r="E44">
        <v>-0.28222222222222199</v>
      </c>
      <c r="F44">
        <v>0.491111111111111</v>
      </c>
      <c r="G44">
        <v>-1.74967727777778E-3</v>
      </c>
      <c r="H44">
        <v>-3.58071883333333E-3</v>
      </c>
      <c r="I44">
        <v>-3.0110695000000001E-3</v>
      </c>
      <c r="J44">
        <v>148.5</v>
      </c>
      <c r="K44">
        <v>-300</v>
      </c>
      <c r="L44">
        <v>156</v>
      </c>
      <c r="M44">
        <v>3108</v>
      </c>
      <c r="N44">
        <v>-6179</v>
      </c>
      <c r="O44">
        <v>3131</v>
      </c>
      <c r="P44">
        <v>3</v>
      </c>
      <c r="Q44">
        <f t="shared" si="0"/>
        <v>45.110236838201693</v>
      </c>
      <c r="R44">
        <f t="shared" si="1"/>
        <v>0.21397525387945038</v>
      </c>
      <c r="S44">
        <f t="shared" si="2"/>
        <v>16.64</v>
      </c>
      <c r="T44">
        <f t="shared" si="3"/>
        <v>1.9688947630362515E-3</v>
      </c>
      <c r="U44">
        <f t="shared" si="4"/>
        <v>-0.39914860488299719</v>
      </c>
      <c r="V44">
        <f t="shared" si="5"/>
        <v>0.10303883333333334</v>
      </c>
      <c r="W44">
        <f t="shared" si="6"/>
        <v>-0.29414087678662759</v>
      </c>
      <c r="X44">
        <f t="shared" si="7"/>
        <v>22911.451482880053</v>
      </c>
      <c r="Y44">
        <f t="shared" si="8"/>
        <v>-0.53607917267347871</v>
      </c>
      <c r="Z44">
        <f t="shared" si="9"/>
        <v>161.49251172292645</v>
      </c>
      <c r="AA44">
        <f t="shared" si="10"/>
        <v>4.7662720473780364</v>
      </c>
    </row>
    <row r="45" spans="1:27" x14ac:dyDescent="0.3">
      <c r="A45">
        <v>0.25299120000000003</v>
      </c>
      <c r="B45">
        <v>0.399999933333333</v>
      </c>
      <c r="C45">
        <v>0.435897266666667</v>
      </c>
      <c r="D45">
        <v>1.274</v>
      </c>
      <c r="E45">
        <v>1.2266666666666699</v>
      </c>
      <c r="F45">
        <v>1.9359999999999999</v>
      </c>
      <c r="G45">
        <v>-2.41210946666667E-2</v>
      </c>
      <c r="H45">
        <v>3.7516288000000002E-2</v>
      </c>
      <c r="I45">
        <v>2.6041773333333302E-3</v>
      </c>
      <c r="J45">
        <v>-72</v>
      </c>
      <c r="K45">
        <v>-250.2</v>
      </c>
      <c r="L45">
        <v>352.8</v>
      </c>
      <c r="M45">
        <v>-1434</v>
      </c>
      <c r="N45">
        <v>-4669</v>
      </c>
      <c r="O45">
        <v>6573</v>
      </c>
      <c r="P45">
        <v>3</v>
      </c>
      <c r="Q45">
        <f t="shared" si="0"/>
        <v>-21.871629982158396</v>
      </c>
      <c r="R45">
        <f t="shared" si="1"/>
        <v>0.17845536173546162</v>
      </c>
      <c r="S45">
        <f t="shared" si="2"/>
        <v>37.631999999999998</v>
      </c>
      <c r="T45">
        <f t="shared" si="3"/>
        <v>1.9212951094243859E-3</v>
      </c>
      <c r="U45">
        <f t="shared" si="4"/>
        <v>-0.26126074271595789</v>
      </c>
      <c r="V45">
        <f t="shared" si="5"/>
        <v>0.14529908888888901</v>
      </c>
      <c r="W45">
        <f t="shared" si="6"/>
        <v>-0.11404035871764448</v>
      </c>
      <c r="X45">
        <f t="shared" si="7"/>
        <v>-11383.79516757895</v>
      </c>
      <c r="Y45">
        <f t="shared" si="8"/>
        <v>-0.68305463683641865</v>
      </c>
      <c r="Z45">
        <f t="shared" si="9"/>
        <v>258.99680643405401</v>
      </c>
      <c r="AA45">
        <f t="shared" si="10"/>
        <v>13.324240467058052</v>
      </c>
    </row>
    <row r="46" spans="1:27" x14ac:dyDescent="0.3">
      <c r="A46">
        <v>0.34065899999999999</v>
      </c>
      <c r="B46">
        <v>0.37179478571428598</v>
      </c>
      <c r="C46">
        <v>0.17948702142857101</v>
      </c>
      <c r="D46">
        <v>-0.95428571428571396</v>
      </c>
      <c r="E46">
        <v>-1.73142857142857</v>
      </c>
      <c r="F46">
        <v>38.9428571428571</v>
      </c>
      <c r="G46">
        <v>-1.6235340000000001E-2</v>
      </c>
      <c r="H46">
        <v>-2.2443524999999999E-2</v>
      </c>
      <c r="I46">
        <v>7.37654571428572E-3</v>
      </c>
      <c r="J46">
        <v>343.28571428571399</v>
      </c>
      <c r="K46">
        <v>333.642857142857</v>
      </c>
      <c r="L46">
        <v>364.5</v>
      </c>
      <c r="M46">
        <v>6380</v>
      </c>
      <c r="N46">
        <v>6274</v>
      </c>
      <c r="O46">
        <v>6580</v>
      </c>
      <c r="P46">
        <v>3</v>
      </c>
      <c r="Q46">
        <f t="shared" si="0"/>
        <v>104.28080723636226</v>
      </c>
      <c r="R46">
        <f t="shared" si="1"/>
        <v>-0.23797105020736006</v>
      </c>
      <c r="S46">
        <f t="shared" si="2"/>
        <v>38.880000000000003</v>
      </c>
      <c r="T46">
        <f t="shared" si="3"/>
        <v>2.5870720826708668E-3</v>
      </c>
      <c r="U46">
        <f t="shared" si="4"/>
        <v>-0.24283849510716965</v>
      </c>
      <c r="V46">
        <f t="shared" si="5"/>
        <v>5.9829007142857001E-2</v>
      </c>
      <c r="W46">
        <f t="shared" si="6"/>
        <v>-0.18042241588164179</v>
      </c>
      <c r="X46">
        <f t="shared" si="7"/>
        <v>40308.427405201568</v>
      </c>
      <c r="Y46">
        <f t="shared" si="8"/>
        <v>0.9799560407518525</v>
      </c>
      <c r="Z46">
        <f t="shared" si="9"/>
        <v>649.85200083905943</v>
      </c>
      <c r="AA46">
        <f t="shared" si="10"/>
        <v>650.90261400913948</v>
      </c>
    </row>
    <row r="47" spans="1:27" x14ac:dyDescent="0.3">
      <c r="A47">
        <v>0.30448700000000001</v>
      </c>
      <c r="B47">
        <v>0.38782038125000001</v>
      </c>
      <c r="C47">
        <v>0.33012800624999999</v>
      </c>
      <c r="D47">
        <v>-1.2393749999999999</v>
      </c>
      <c r="E47">
        <v>-5.2787499999999996</v>
      </c>
      <c r="F47">
        <v>88.132499999999993</v>
      </c>
      <c r="G47">
        <v>-4.9133362499999998E-3</v>
      </c>
      <c r="H47">
        <v>2.7069051375E-2</v>
      </c>
      <c r="I47">
        <v>-5.0811779374999998E-2</v>
      </c>
      <c r="J47">
        <v>769.5</v>
      </c>
      <c r="K47">
        <v>742.5</v>
      </c>
      <c r="L47">
        <v>752.625</v>
      </c>
      <c r="M47">
        <v>14384</v>
      </c>
      <c r="N47">
        <v>14083</v>
      </c>
      <c r="O47">
        <v>14168</v>
      </c>
      <c r="P47">
        <v>3</v>
      </c>
      <c r="Q47">
        <f t="shared" si="0"/>
        <v>233.75304543431784</v>
      </c>
      <c r="R47">
        <f t="shared" si="1"/>
        <v>-0.52958875335163969</v>
      </c>
      <c r="S47">
        <f t="shared" si="2"/>
        <v>80.28</v>
      </c>
      <c r="T47">
        <f t="shared" si="3"/>
        <v>2.3123704855477303E-3</v>
      </c>
      <c r="U47">
        <f t="shared" si="4"/>
        <v>-0.25330564433201003</v>
      </c>
      <c r="V47">
        <f t="shared" si="5"/>
        <v>0.11004266875</v>
      </c>
      <c r="W47">
        <f t="shared" si="6"/>
        <v>-0.14095060509646229</v>
      </c>
      <c r="X47">
        <f t="shared" si="7"/>
        <v>101088.05958875091</v>
      </c>
      <c r="Y47">
        <f t="shared" si="8"/>
        <v>2.0907104330352104</v>
      </c>
      <c r="Z47">
        <f t="shared" si="9"/>
        <v>729.53519677338795</v>
      </c>
      <c r="AA47">
        <f t="shared" si="10"/>
        <v>800.8938805384978</v>
      </c>
    </row>
    <row r="48" spans="1:27" x14ac:dyDescent="0.3">
      <c r="A48">
        <v>1.12820511764706</v>
      </c>
      <c r="B48">
        <v>1.20663529411765E-2</v>
      </c>
      <c r="C48">
        <v>1.0633487058823501</v>
      </c>
      <c r="D48">
        <v>0.78588235294117703</v>
      </c>
      <c r="E48">
        <v>0.14470588235294099</v>
      </c>
      <c r="F48">
        <v>0.59647058823529397</v>
      </c>
      <c r="G48">
        <v>-2.4844952941176501E-3</v>
      </c>
      <c r="H48">
        <v>2.04647211764706E-2</v>
      </c>
      <c r="I48">
        <v>-5.7157605882352898E-3</v>
      </c>
      <c r="J48">
        <v>-227.11764705882399</v>
      </c>
      <c r="K48">
        <v>0</v>
      </c>
      <c r="L48">
        <v>230.29411764705901</v>
      </c>
      <c r="M48">
        <v>-4178</v>
      </c>
      <c r="N48">
        <v>3</v>
      </c>
      <c r="O48">
        <v>4260</v>
      </c>
      <c r="P48">
        <v>4</v>
      </c>
      <c r="Q48">
        <f t="shared" si="0"/>
        <v>-68.992126929014489</v>
      </c>
      <c r="R48">
        <f t="shared" si="1"/>
        <v>0</v>
      </c>
      <c r="S48">
        <f t="shared" si="2"/>
        <v>24.56470588235296</v>
      </c>
      <c r="T48">
        <f t="shared" si="3"/>
        <v>8.5679461379006873E-3</v>
      </c>
      <c r="U48">
        <f t="shared" si="4"/>
        <v>-7.88116214173867E-3</v>
      </c>
      <c r="V48">
        <f t="shared" si="5"/>
        <v>0.35444956862745003</v>
      </c>
      <c r="W48">
        <f t="shared" si="6"/>
        <v>0.35513635262361204</v>
      </c>
      <c r="X48">
        <f t="shared" si="7"/>
        <v>-8052.3530165327229</v>
      </c>
      <c r="Y48">
        <f t="shared" si="8"/>
        <v>0</v>
      </c>
      <c r="Z48">
        <f t="shared" si="9"/>
        <v>69.303810913004924</v>
      </c>
      <c r="AA48">
        <f t="shared" si="10"/>
        <v>1.6828080523416409</v>
      </c>
    </row>
    <row r="49" spans="1:27" x14ac:dyDescent="0.3">
      <c r="A49">
        <v>1.1316236</v>
      </c>
      <c r="B49">
        <v>1.475214</v>
      </c>
      <c r="C49">
        <v>1.0905992</v>
      </c>
      <c r="D49">
        <v>0.74733333333333296</v>
      </c>
      <c r="E49">
        <v>-4.33333333333333E-2</v>
      </c>
      <c r="F49">
        <v>5.1106666666666696</v>
      </c>
      <c r="G49" s="1">
        <v>-3.2557066666666701E-5</v>
      </c>
      <c r="H49">
        <v>-1.4892579933333301E-2</v>
      </c>
      <c r="I49">
        <v>-1.18652253333333E-2</v>
      </c>
      <c r="J49">
        <v>88.2</v>
      </c>
      <c r="K49">
        <v>-257.39999999999998</v>
      </c>
      <c r="L49">
        <v>91.8</v>
      </c>
      <c r="M49">
        <v>1390</v>
      </c>
      <c r="N49">
        <v>-3900</v>
      </c>
      <c r="O49">
        <v>1471</v>
      </c>
      <c r="P49">
        <v>4</v>
      </c>
      <c r="Q49">
        <f t="shared" si="0"/>
        <v>26.792746728144039</v>
      </c>
      <c r="R49">
        <f t="shared" si="1"/>
        <v>0.1835907678285684</v>
      </c>
      <c r="S49">
        <f t="shared" si="2"/>
        <v>9.7919999999999998</v>
      </c>
      <c r="T49">
        <f t="shared" si="3"/>
        <v>8.5939071730132006E-3</v>
      </c>
      <c r="U49">
        <f t="shared" si="4"/>
        <v>-0.96353892385226925</v>
      </c>
      <c r="V49">
        <f t="shared" si="5"/>
        <v>0.36353306666666668</v>
      </c>
      <c r="W49">
        <f t="shared" si="6"/>
        <v>-0.59141195001258939</v>
      </c>
      <c r="X49">
        <f t="shared" si="7"/>
        <v>3117.644418161658</v>
      </c>
      <c r="Y49">
        <f t="shared" si="8"/>
        <v>-0.19053798791497159</v>
      </c>
      <c r="Z49">
        <f t="shared" si="9"/>
        <v>26.935651520741992</v>
      </c>
      <c r="AA49">
        <f t="shared" si="10"/>
        <v>14.058326835376377</v>
      </c>
    </row>
    <row r="50" spans="1:27" x14ac:dyDescent="0.3">
      <c r="A50">
        <v>1.2262440588235299</v>
      </c>
      <c r="B50">
        <v>1.2971347058823499</v>
      </c>
      <c r="C50">
        <v>1.1568629411764699</v>
      </c>
      <c r="D50">
        <v>0.61411764705882399</v>
      </c>
      <c r="E50">
        <v>0.154117641176471</v>
      </c>
      <c r="F50">
        <v>-0.384705888235294</v>
      </c>
      <c r="G50">
        <v>1.1747477058823501E-2</v>
      </c>
      <c r="H50">
        <v>2.3968859411764701E-2</v>
      </c>
      <c r="I50">
        <v>7.9273841176470596E-3</v>
      </c>
      <c r="J50">
        <v>-30.176470588235301</v>
      </c>
      <c r="K50">
        <v>-247.76470588235301</v>
      </c>
      <c r="L50">
        <v>409.76470588235298</v>
      </c>
      <c r="M50">
        <v>-514</v>
      </c>
      <c r="N50">
        <v>-4691</v>
      </c>
      <c r="O50">
        <v>7556</v>
      </c>
      <c r="P50">
        <v>4</v>
      </c>
      <c r="Q50">
        <f t="shared" si="0"/>
        <v>-9.166786095463447</v>
      </c>
      <c r="R50">
        <f t="shared" si="1"/>
        <v>0.17671838614514612</v>
      </c>
      <c r="S50">
        <f t="shared" si="2"/>
        <v>43.70823529411765</v>
      </c>
      <c r="T50">
        <f t="shared" si="3"/>
        <v>9.3124848341695557E-3</v>
      </c>
      <c r="U50">
        <f t="shared" si="4"/>
        <v>-0.8472260828580187</v>
      </c>
      <c r="V50">
        <f t="shared" si="5"/>
        <v>0.38562098039215664</v>
      </c>
      <c r="W50">
        <f t="shared" si="6"/>
        <v>-0.45229261763169248</v>
      </c>
      <c r="X50">
        <f t="shared" si="7"/>
        <v>-984.35447237760775</v>
      </c>
      <c r="Y50">
        <f t="shared" si="8"/>
        <v>-0.20858468562370883</v>
      </c>
      <c r="Z50">
        <f t="shared" si="9"/>
        <v>113.34506553473473</v>
      </c>
      <c r="AA50">
        <f t="shared" si="10"/>
        <v>-0.99762696480898927</v>
      </c>
    </row>
    <row r="51" spans="1:27" x14ac:dyDescent="0.3">
      <c r="A51">
        <v>0.9407053125</v>
      </c>
      <c r="B51">
        <v>1.11859</v>
      </c>
      <c r="C51">
        <v>0.94551275000000001</v>
      </c>
      <c r="D51">
        <v>-0.38250000000000001</v>
      </c>
      <c r="E51">
        <v>0.59187500000000004</v>
      </c>
      <c r="F51">
        <v>8.94</v>
      </c>
      <c r="G51">
        <v>1.4953643124999999E-3</v>
      </c>
      <c r="H51">
        <v>-2.73742714375E-2</v>
      </c>
      <c r="I51">
        <v>-1.3046259375000001E-2</v>
      </c>
      <c r="J51">
        <v>101.25</v>
      </c>
      <c r="K51">
        <v>91.125</v>
      </c>
      <c r="L51">
        <v>106.3125</v>
      </c>
      <c r="M51">
        <v>1965</v>
      </c>
      <c r="N51">
        <v>1751</v>
      </c>
      <c r="O51">
        <v>1890</v>
      </c>
      <c r="P51">
        <v>4</v>
      </c>
      <c r="Q51">
        <f t="shared" si="0"/>
        <v>30.756979662410245</v>
      </c>
      <c r="R51">
        <f t="shared" si="1"/>
        <v>-6.4994983365883052E-2</v>
      </c>
      <c r="S51">
        <f t="shared" si="2"/>
        <v>11.34</v>
      </c>
      <c r="T51">
        <f t="shared" si="3"/>
        <v>7.1440133740453765E-3</v>
      </c>
      <c r="U51">
        <f t="shared" si="4"/>
        <v>-0.73060925725481851</v>
      </c>
      <c r="V51">
        <f t="shared" si="5"/>
        <v>0.31517091666666669</v>
      </c>
      <c r="W51">
        <f t="shared" si="6"/>
        <v>-0.40829432721410647</v>
      </c>
      <c r="X51">
        <f t="shared" si="7"/>
        <v>4305.2802468360678</v>
      </c>
      <c r="Y51">
        <f t="shared" si="8"/>
        <v>8.8959977882150487E-2</v>
      </c>
      <c r="Z51">
        <f t="shared" si="9"/>
        <v>35.980477259561013</v>
      </c>
      <c r="AA51">
        <f t="shared" si="10"/>
        <v>28.365561437431698</v>
      </c>
    </row>
    <row r="52" spans="1:27" x14ac:dyDescent="0.3">
      <c r="A52">
        <v>0.87179466666666705</v>
      </c>
      <c r="B52">
        <v>1.14529946666667</v>
      </c>
      <c r="C52">
        <v>0.87008526666666697</v>
      </c>
      <c r="D52">
        <v>0.186</v>
      </c>
      <c r="E52">
        <v>-1.8380000000000001</v>
      </c>
      <c r="F52">
        <v>28.574000000000002</v>
      </c>
      <c r="G52">
        <v>7.2265653333333296E-3</v>
      </c>
      <c r="H52">
        <v>-1.2304700666666699E-2</v>
      </c>
      <c r="I52">
        <v>-5.5989500000000001E-3</v>
      </c>
      <c r="J52">
        <v>291.60000000000002</v>
      </c>
      <c r="K52">
        <v>279</v>
      </c>
      <c r="L52">
        <v>295.2</v>
      </c>
      <c r="M52">
        <v>4780</v>
      </c>
      <c r="N52">
        <v>4519</v>
      </c>
      <c r="O52">
        <v>4817</v>
      </c>
      <c r="P52">
        <v>4</v>
      </c>
      <c r="Q52">
        <f t="shared" si="0"/>
        <v>88.580101427741511</v>
      </c>
      <c r="R52">
        <f t="shared" si="1"/>
        <v>-0.19899698610788885</v>
      </c>
      <c r="S52">
        <f t="shared" si="2"/>
        <v>31.488</v>
      </c>
      <c r="T52">
        <f t="shared" si="3"/>
        <v>6.6206841561640487E-3</v>
      </c>
      <c r="U52">
        <f t="shared" si="4"/>
        <v>-0.74805459790957873</v>
      </c>
      <c r="V52">
        <f t="shared" si="5"/>
        <v>0.2900284222222223</v>
      </c>
      <c r="W52">
        <f t="shared" si="6"/>
        <v>-0.45140549153119242</v>
      </c>
      <c r="X52">
        <f t="shared" si="7"/>
        <v>13379.297265716999</v>
      </c>
      <c r="Y52">
        <f t="shared" si="8"/>
        <v>0.26601933423573804</v>
      </c>
      <c r="Z52">
        <f t="shared" si="9"/>
        <v>108.56866978324497</v>
      </c>
      <c r="AA52">
        <f t="shared" si="10"/>
        <v>98.521378632699495</v>
      </c>
    </row>
    <row r="53" spans="1:27" x14ac:dyDescent="0.3">
      <c r="A53">
        <v>0.8992675</v>
      </c>
      <c r="B53">
        <v>1.12454135714286</v>
      </c>
      <c r="C53">
        <v>0.85897414285714302</v>
      </c>
      <c r="D53">
        <v>-0.752142857142857</v>
      </c>
      <c r="E53">
        <v>-3.8421428571428602</v>
      </c>
      <c r="F53">
        <v>66.0042857142857</v>
      </c>
      <c r="G53">
        <v>1.4474100000000001E-3</v>
      </c>
      <c r="H53">
        <v>9.0157357142857195E-3</v>
      </c>
      <c r="I53">
        <v>-4.2515357142857098E-2</v>
      </c>
      <c r="J53">
        <v>688.5</v>
      </c>
      <c r="K53">
        <v>678.857142857143</v>
      </c>
      <c r="L53">
        <v>703.92857142857099</v>
      </c>
      <c r="M53">
        <v>11179</v>
      </c>
      <c r="N53">
        <v>10931</v>
      </c>
      <c r="O53">
        <v>11284</v>
      </c>
      <c r="P53">
        <v>4</v>
      </c>
      <c r="Q53">
        <f t="shared" si="0"/>
        <v>209.14746170438968</v>
      </c>
      <c r="R53">
        <f t="shared" si="1"/>
        <v>-0.48419543163578493</v>
      </c>
      <c r="S53">
        <f t="shared" si="2"/>
        <v>75.085714285714246</v>
      </c>
      <c r="T53">
        <f t="shared" si="3"/>
        <v>6.8293215329793839E-3</v>
      </c>
      <c r="U53">
        <f t="shared" si="4"/>
        <v>-0.73449639787095411</v>
      </c>
      <c r="V53">
        <f t="shared" si="5"/>
        <v>0.28632471428571432</v>
      </c>
      <c r="W53">
        <f t="shared" si="6"/>
        <v>-0.44134236205226035</v>
      </c>
      <c r="X53">
        <f t="shared" si="7"/>
        <v>30624.925286413669</v>
      </c>
      <c r="Y53">
        <f t="shared" si="8"/>
        <v>0.65922097513248079</v>
      </c>
      <c r="Z53">
        <f t="shared" si="9"/>
        <v>262.23972482790504</v>
      </c>
      <c r="AA53">
        <f t="shared" si="10"/>
        <v>230.52248870288619</v>
      </c>
    </row>
    <row r="54" spans="1:27" x14ac:dyDescent="0.3">
      <c r="A54">
        <v>0.75384640000000003</v>
      </c>
      <c r="B54">
        <v>1.36752133333333E-2</v>
      </c>
      <c r="C54">
        <v>0.79487200000000002</v>
      </c>
      <c r="D54">
        <v>1.11866666666667</v>
      </c>
      <c r="E54">
        <v>0.34466666666666701</v>
      </c>
      <c r="F54">
        <v>0.56133332666666702</v>
      </c>
      <c r="G54">
        <v>-3.1412760000000001E-3</v>
      </c>
      <c r="H54">
        <v>-6.6732286666666696E-4</v>
      </c>
      <c r="I54">
        <v>-5.46874466666667E-3</v>
      </c>
      <c r="J54">
        <v>-252</v>
      </c>
      <c r="K54">
        <v>0</v>
      </c>
      <c r="L54">
        <v>246.6</v>
      </c>
      <c r="M54">
        <v>-4267</v>
      </c>
      <c r="N54">
        <v>-4</v>
      </c>
      <c r="O54">
        <v>4256</v>
      </c>
      <c r="P54">
        <v>5</v>
      </c>
      <c r="Q54">
        <f t="shared" si="0"/>
        <v>-76.550704937554386</v>
      </c>
      <c r="R54">
        <f t="shared" si="1"/>
        <v>0</v>
      </c>
      <c r="S54">
        <f t="shared" si="2"/>
        <v>26.303999999999998</v>
      </c>
      <c r="T54">
        <f t="shared" si="3"/>
        <v>5.7249477514521429E-3</v>
      </c>
      <c r="U54">
        <f t="shared" si="4"/>
        <v>-8.9319924693299912E-3</v>
      </c>
      <c r="V54">
        <f t="shared" si="5"/>
        <v>0.26495733333333332</v>
      </c>
      <c r="W54">
        <f t="shared" si="6"/>
        <v>0.26175028861545546</v>
      </c>
      <c r="X54">
        <f t="shared" si="7"/>
        <v>-13371.424205249239</v>
      </c>
      <c r="Y54">
        <f t="shared" si="8"/>
        <v>0</v>
      </c>
      <c r="Z54">
        <f t="shared" si="9"/>
        <v>99.276361477068008</v>
      </c>
      <c r="AA54">
        <f t="shared" si="10"/>
        <v>2.1185800732696598</v>
      </c>
    </row>
    <row r="55" spans="1:27" x14ac:dyDescent="0.3">
      <c r="A55">
        <v>0.41538439999999999</v>
      </c>
      <c r="B55">
        <v>0.7145302</v>
      </c>
      <c r="C55">
        <v>0.42905959999999999</v>
      </c>
      <c r="D55">
        <v>0.59533333333333305</v>
      </c>
      <c r="E55">
        <v>0.272666666666667</v>
      </c>
      <c r="F55">
        <v>-0.90066666666666695</v>
      </c>
      <c r="G55">
        <v>-3.1900980000000002E-3</v>
      </c>
      <c r="H55">
        <v>1.0416659999999999E-3</v>
      </c>
      <c r="I55">
        <v>-4.8990980000000002E-3</v>
      </c>
      <c r="J55">
        <v>154.80000000000001</v>
      </c>
      <c r="K55">
        <v>-318.60000000000002</v>
      </c>
      <c r="L55">
        <v>149.4</v>
      </c>
      <c r="M55">
        <v>2620</v>
      </c>
      <c r="N55">
        <v>-5490</v>
      </c>
      <c r="O55">
        <v>2637</v>
      </c>
      <c r="P55">
        <v>5</v>
      </c>
      <c r="Q55">
        <f t="shared" si="0"/>
        <v>47.024004461640558</v>
      </c>
      <c r="R55">
        <f t="shared" si="1"/>
        <v>0.22724171961997633</v>
      </c>
      <c r="S55">
        <f t="shared" si="2"/>
        <v>15.936</v>
      </c>
      <c r="T55">
        <f t="shared" si="3"/>
        <v>3.1545603809586373E-3</v>
      </c>
      <c r="U55">
        <f t="shared" si="4"/>
        <v>-0.46669680464525604</v>
      </c>
      <c r="V55">
        <f t="shared" si="5"/>
        <v>0.14301986666666666</v>
      </c>
      <c r="W55">
        <f t="shared" si="6"/>
        <v>-0.32052237759763075</v>
      </c>
      <c r="X55">
        <f t="shared" si="7"/>
        <v>14906.674396053393</v>
      </c>
      <c r="Y55">
        <f t="shared" si="8"/>
        <v>-0.48691509639262803</v>
      </c>
      <c r="Z55">
        <f t="shared" si="9"/>
        <v>111.42507940621769</v>
      </c>
      <c r="AA55">
        <f t="shared" si="10"/>
        <v>-6.2974934018490689</v>
      </c>
    </row>
    <row r="56" spans="1:27" x14ac:dyDescent="0.3">
      <c r="A56">
        <v>0.27403824999999998</v>
      </c>
      <c r="B56">
        <v>0.66987206249999998</v>
      </c>
      <c r="C56">
        <v>0.79006431249999998</v>
      </c>
      <c r="D56">
        <v>0.70125000000000004</v>
      </c>
      <c r="E56">
        <v>0.25750000000000001</v>
      </c>
      <c r="F56">
        <v>0.79749999999999999</v>
      </c>
      <c r="G56">
        <v>5.5847155625000002E-3</v>
      </c>
      <c r="H56">
        <v>3.9062506249999997E-3</v>
      </c>
      <c r="I56">
        <v>-7.3089687500000004E-3</v>
      </c>
      <c r="J56">
        <v>-106.3125</v>
      </c>
      <c r="K56">
        <v>-315.5625</v>
      </c>
      <c r="L56">
        <v>448.875</v>
      </c>
      <c r="M56">
        <v>-1935</v>
      </c>
      <c r="N56">
        <v>-5787</v>
      </c>
      <c r="O56">
        <v>8017</v>
      </c>
      <c r="P56">
        <v>5</v>
      </c>
      <c r="Q56">
        <f t="shared" si="0"/>
        <v>-32.294828645530757</v>
      </c>
      <c r="R56">
        <f t="shared" si="1"/>
        <v>0.22507522017444687</v>
      </c>
      <c r="S56">
        <f t="shared" si="2"/>
        <v>47.88</v>
      </c>
      <c r="T56">
        <f t="shared" si="3"/>
        <v>2.0811330572771589E-3</v>
      </c>
      <c r="U56">
        <f t="shared" si="4"/>
        <v>-0.43752825435492754</v>
      </c>
      <c r="V56">
        <f t="shared" si="5"/>
        <v>0.26335477083333331</v>
      </c>
      <c r="W56">
        <f t="shared" si="6"/>
        <v>-0.17209235046431709</v>
      </c>
      <c r="X56">
        <f t="shared" si="7"/>
        <v>-15517.906715577115</v>
      </c>
      <c r="Y56">
        <f t="shared" si="8"/>
        <v>-0.51442442387243748</v>
      </c>
      <c r="Z56">
        <f t="shared" si="9"/>
        <v>181.80798414432877</v>
      </c>
      <c r="AA56">
        <f t="shared" si="10"/>
        <v>3.0282344894549329</v>
      </c>
    </row>
    <row r="57" spans="1:27" x14ac:dyDescent="0.3">
      <c r="A57">
        <v>0.218803206666667</v>
      </c>
      <c r="B57">
        <v>0.35726466666666701</v>
      </c>
      <c r="C57">
        <v>0.34529886666666698</v>
      </c>
      <c r="D57">
        <v>0.47799999999999998</v>
      </c>
      <c r="E57">
        <v>-0.77600000000000002</v>
      </c>
      <c r="F57">
        <v>19.941333333333301</v>
      </c>
      <c r="G57">
        <v>-4.7037666666666696E-3</v>
      </c>
      <c r="H57">
        <v>1.0921222600000001E-2</v>
      </c>
      <c r="I57">
        <v>-2.9134120000000002E-3</v>
      </c>
      <c r="J57">
        <v>160.19999999999999</v>
      </c>
      <c r="K57">
        <v>154.80000000000001</v>
      </c>
      <c r="L57">
        <v>160.19999999999999</v>
      </c>
      <c r="M57">
        <v>2685</v>
      </c>
      <c r="N57">
        <v>2556</v>
      </c>
      <c r="O57">
        <v>2559</v>
      </c>
      <c r="P57">
        <v>5</v>
      </c>
      <c r="Q57">
        <f t="shared" si="0"/>
        <v>48.66437671030242</v>
      </c>
      <c r="R57">
        <f t="shared" si="1"/>
        <v>-0.11041123100179641</v>
      </c>
      <c r="S57">
        <f t="shared" si="2"/>
        <v>17.088000000000001</v>
      </c>
      <c r="T57">
        <f t="shared" si="3"/>
        <v>1.6616606858066228E-3</v>
      </c>
      <c r="U57">
        <f t="shared" si="4"/>
        <v>-0.23334811929010979</v>
      </c>
      <c r="V57">
        <f t="shared" si="5"/>
        <v>0.11509962222222232</v>
      </c>
      <c r="W57">
        <f t="shared" si="6"/>
        <v>-0.11658683638208085</v>
      </c>
      <c r="X57">
        <f t="shared" si="7"/>
        <v>29286.590894265028</v>
      </c>
      <c r="Y57">
        <f t="shared" si="8"/>
        <v>0.47316100655830773</v>
      </c>
      <c r="Z57">
        <f t="shared" si="9"/>
        <v>148.46269405653024</v>
      </c>
      <c r="AA57">
        <f t="shared" si="10"/>
        <v>173.25281307033882</v>
      </c>
    </row>
    <row r="58" spans="1:27" x14ac:dyDescent="0.3">
      <c r="A58">
        <v>0.38632480000000002</v>
      </c>
      <c r="B58">
        <v>0.27008520666666702</v>
      </c>
      <c r="C58">
        <v>0.31452966666666698</v>
      </c>
      <c r="D58">
        <v>0.11</v>
      </c>
      <c r="E58">
        <v>-1.8353333333333299</v>
      </c>
      <c r="F58">
        <v>37.206000000000003</v>
      </c>
      <c r="G58">
        <v>-4.2806053333333304E-3</v>
      </c>
      <c r="H58">
        <v>8.2682293333333299E-3</v>
      </c>
      <c r="I58">
        <v>-1.30371106666667E-2</v>
      </c>
      <c r="J58">
        <v>345.6</v>
      </c>
      <c r="K58">
        <v>343.8</v>
      </c>
      <c r="L58">
        <v>347.4</v>
      </c>
      <c r="M58">
        <v>5561</v>
      </c>
      <c r="N58">
        <v>5672</v>
      </c>
      <c r="O58">
        <v>5640</v>
      </c>
      <c r="P58">
        <v>5</v>
      </c>
      <c r="Q58">
        <f t="shared" si="0"/>
        <v>104.98382391436031</v>
      </c>
      <c r="R58">
        <f t="shared" si="1"/>
        <v>-0.24521564094585013</v>
      </c>
      <c r="S58">
        <f t="shared" si="2"/>
        <v>37.055999999999997</v>
      </c>
      <c r="T58">
        <f t="shared" si="3"/>
        <v>2.933872596712273E-3</v>
      </c>
      <c r="U58">
        <f t="shared" si="4"/>
        <v>-0.17640668362693013</v>
      </c>
      <c r="V58">
        <f t="shared" si="5"/>
        <v>0.10484322222222232</v>
      </c>
      <c r="W58">
        <f t="shared" si="6"/>
        <v>-6.8629588807995537E-2</v>
      </c>
      <c r="X58">
        <f t="shared" si="7"/>
        <v>35783.361565190746</v>
      </c>
      <c r="Y58">
        <f t="shared" si="8"/>
        <v>1.3900586752395343</v>
      </c>
      <c r="Z58">
        <f t="shared" si="9"/>
        <v>353.44201765811135</v>
      </c>
      <c r="AA58">
        <f t="shared" si="10"/>
        <v>354.87272530731042</v>
      </c>
    </row>
    <row r="59" spans="1:27" x14ac:dyDescent="0.3">
      <c r="A59">
        <v>0.28717935999999999</v>
      </c>
      <c r="B59">
        <v>0.444444333333333</v>
      </c>
      <c r="C59">
        <v>0.38803406666666701</v>
      </c>
      <c r="D59">
        <v>-0.421333333333333</v>
      </c>
      <c r="E59">
        <v>-4.9693333333333296</v>
      </c>
      <c r="F59">
        <v>83.96</v>
      </c>
      <c r="G59">
        <v>2.3258471999999999E-2</v>
      </c>
      <c r="H59">
        <v>6.8369200000000299E-4</v>
      </c>
      <c r="I59">
        <v>-9.7329906666666598E-3</v>
      </c>
      <c r="J59">
        <v>748.8</v>
      </c>
      <c r="K59">
        <v>732.6</v>
      </c>
      <c r="L59">
        <v>745.2</v>
      </c>
      <c r="M59">
        <v>13018</v>
      </c>
      <c r="N59">
        <v>12934</v>
      </c>
      <c r="O59">
        <v>12950</v>
      </c>
      <c r="P59">
        <v>5</v>
      </c>
      <c r="Q59">
        <f t="shared" si="0"/>
        <v>227.46495181444729</v>
      </c>
      <c r="R59">
        <f t="shared" si="1"/>
        <v>-0.52252756997361782</v>
      </c>
      <c r="S59">
        <f t="shared" si="2"/>
        <v>79.488</v>
      </c>
      <c r="T59">
        <f t="shared" si="3"/>
        <v>2.180930798761479E-3</v>
      </c>
      <c r="U59">
        <f t="shared" si="4"/>
        <v>-0.29028968993802862</v>
      </c>
      <c r="V59">
        <f t="shared" si="5"/>
        <v>0.129344688888889</v>
      </c>
      <c r="W59">
        <f t="shared" si="6"/>
        <v>-0.15876407025037814</v>
      </c>
      <c r="X59">
        <f t="shared" si="7"/>
        <v>104297.18904589799</v>
      </c>
      <c r="Y59">
        <f t="shared" si="8"/>
        <v>1.8000211102404899</v>
      </c>
      <c r="Z59">
        <f t="shared" si="9"/>
        <v>614.54398076045163</v>
      </c>
      <c r="AA59">
        <f t="shared" si="10"/>
        <v>649.11826470218784</v>
      </c>
    </row>
  </sheetData>
  <pageMargins left="0.70000004768371604" right="0.70000004768371604" top="0.75" bottom="0.75" header="0.30000001192092901" footer="0.3000000119209290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Степанов</cp:lastModifiedBy>
  <dcterms:modified xsi:type="dcterms:W3CDTF">2026-05-20T14:27:42Z</dcterms:modified>
</cp:coreProperties>
</file>